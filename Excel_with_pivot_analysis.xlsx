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OTI\Desktop\task-2\"/>
    </mc:Choice>
  </mc:AlternateContent>
  <xr:revisionPtr revIDLastSave="0" documentId="13_ncr:1_{D2A3E901-0D26-4880-AE25-46D4B5701B6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Orders" sheetId="1" r:id="rId1"/>
    <sheet name="Customers" sheetId="4" r:id="rId2"/>
    <sheet name="Dashboard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3" i="1"/>
  <c r="I4" i="1"/>
  <c r="I5" i="1"/>
  <c r="I6" i="1"/>
  <c r="I2" i="1"/>
</calcChain>
</file>

<file path=xl/sharedStrings.xml><?xml version="1.0" encoding="utf-8"?>
<sst xmlns="http://schemas.openxmlformats.org/spreadsheetml/2006/main" count="720" uniqueCount="299">
  <si>
    <t>order_id</t>
  </si>
  <si>
    <t>order_date</t>
  </si>
  <si>
    <t>customer_id</t>
  </si>
  <si>
    <t>product_category</t>
  </si>
  <si>
    <t>sales</t>
  </si>
  <si>
    <t>quantity</t>
  </si>
  <si>
    <t>profit</t>
  </si>
  <si>
    <t>discount</t>
  </si>
  <si>
    <t>ORD0001</t>
  </si>
  <si>
    <t>CUST028</t>
  </si>
  <si>
    <t>Food</t>
  </si>
  <si>
    <t>ORD0002</t>
  </si>
  <si>
    <t>CUST049</t>
  </si>
  <si>
    <t>Electronics</t>
  </si>
  <si>
    <t>ORD0003</t>
  </si>
  <si>
    <t>CUST039</t>
  </si>
  <si>
    <t>ORD0004</t>
  </si>
  <si>
    <t>CUST001</t>
  </si>
  <si>
    <t>ORD0005</t>
  </si>
  <si>
    <t>CUST008</t>
  </si>
  <si>
    <t>Office Supplies</t>
  </si>
  <si>
    <t>ORD0006</t>
  </si>
  <si>
    <t>CUST033</t>
  </si>
  <si>
    <t>Furniture</t>
  </si>
  <si>
    <t>ORD0007</t>
  </si>
  <si>
    <t>ORD0008</t>
  </si>
  <si>
    <t>ORD0009</t>
  </si>
  <si>
    <t>CUST016</t>
  </si>
  <si>
    <t>ORD0010</t>
  </si>
  <si>
    <t>CUST005</t>
  </si>
  <si>
    <t>ORD0011</t>
  </si>
  <si>
    <t>CUST017</t>
  </si>
  <si>
    <t>ORD0012</t>
  </si>
  <si>
    <t>CUST013</t>
  </si>
  <si>
    <t>ORD0013</t>
  </si>
  <si>
    <t>ORD0014</t>
  </si>
  <si>
    <t>CUST038</t>
  </si>
  <si>
    <t>ORD0015</t>
  </si>
  <si>
    <t>CUST022</t>
  </si>
  <si>
    <t>ORD0016</t>
  </si>
  <si>
    <t>CUST047</t>
  </si>
  <si>
    <t>ORD0017</t>
  </si>
  <si>
    <t>CUST007</t>
  </si>
  <si>
    <t>ORD0018</t>
  </si>
  <si>
    <t>CUST044</t>
  </si>
  <si>
    <t>ORD0019</t>
  </si>
  <si>
    <t>CUST035</t>
  </si>
  <si>
    <t>Clothing</t>
  </si>
  <si>
    <t>ORD0020</t>
  </si>
  <si>
    <t>CUST029</t>
  </si>
  <si>
    <t>ORD0021</t>
  </si>
  <si>
    <t>CUST011</t>
  </si>
  <si>
    <t>ORD0022</t>
  </si>
  <si>
    <t>CUST025</t>
  </si>
  <si>
    <t>ORD0023</t>
  </si>
  <si>
    <t>ORD0024</t>
  </si>
  <si>
    <t>CUST004</t>
  </si>
  <si>
    <t>ORD0025</t>
  </si>
  <si>
    <t>CUST031</t>
  </si>
  <si>
    <t>ORD0026</t>
  </si>
  <si>
    <t>CUST006</t>
  </si>
  <si>
    <t>ORD0027</t>
  </si>
  <si>
    <t>ORD0028</t>
  </si>
  <si>
    <t>CUST037</t>
  </si>
  <si>
    <t>ORD0029</t>
  </si>
  <si>
    <t>ORD0030</t>
  </si>
  <si>
    <t>ORD0031</t>
  </si>
  <si>
    <t>ORD0032</t>
  </si>
  <si>
    <t>CUST019</t>
  </si>
  <si>
    <t>ORD0033</t>
  </si>
  <si>
    <t>CUST034</t>
  </si>
  <si>
    <t>ORD0034</t>
  </si>
  <si>
    <t>CUST009</t>
  </si>
  <si>
    <t>ORD0035</t>
  </si>
  <si>
    <t>ORD0036</t>
  </si>
  <si>
    <t>ORD0037</t>
  </si>
  <si>
    <t>CUST041</t>
  </si>
  <si>
    <t>ORD0038</t>
  </si>
  <si>
    <t>ORD0039</t>
  </si>
  <si>
    <t>ORD0040</t>
  </si>
  <si>
    <t>CUST023</t>
  </si>
  <si>
    <t>ORD0041</t>
  </si>
  <si>
    <t>CUST040</t>
  </si>
  <si>
    <t>ORD0042</t>
  </si>
  <si>
    <t>CUST027</t>
  </si>
  <si>
    <t>ORD0043</t>
  </si>
  <si>
    <t>CUST018</t>
  </si>
  <si>
    <t>ORD0044</t>
  </si>
  <si>
    <t>CUST015</t>
  </si>
  <si>
    <t>ORD0045</t>
  </si>
  <si>
    <t>ORD0046</t>
  </si>
  <si>
    <t>CUST050</t>
  </si>
  <si>
    <t>ORD0047</t>
  </si>
  <si>
    <t>ORD0048</t>
  </si>
  <si>
    <t>CUST003</t>
  </si>
  <si>
    <t>ORD0049</t>
  </si>
  <si>
    <t>ORD0050</t>
  </si>
  <si>
    <t>ORD0051</t>
  </si>
  <si>
    <t>CUST043</t>
  </si>
  <si>
    <t>ORD0052</t>
  </si>
  <si>
    <t>ORD0053</t>
  </si>
  <si>
    <t>ORD0054</t>
  </si>
  <si>
    <t>CUST036</t>
  </si>
  <si>
    <t>ORD0055</t>
  </si>
  <si>
    <t>CUST042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</si>
  <si>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</si>
  <si>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</si>
  <si>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</si>
  <si>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</si>
  <si>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</si>
  <si>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</si>
  <si>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</si>
  <si>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</si>
  <si>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</si>
  <si>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</si>
  <si>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</si>
  <si>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</si>
  <si>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CUST014</t>
  </si>
  <si>
    <t>ORD0068</t>
  </si>
  <si>
    <t>ORD0069</t>
  </si>
  <si>
    <t>ORD0070</t>
  </si>
  <si>
    <t>ORD0071</t>
  </si>
  <si>
    <t>CUST032</t>
  </si>
  <si>
    <t>ORD0072</t>
  </si>
  <si>
    <t>ORD0073</t>
  </si>
  <si>
    <t>ORD0074</t>
  </si>
  <si>
    <t>CUST021</t>
  </si>
  <si>
    <t>ORD0075</t>
  </si>
  <si>
    <t>ORD0076</t>
  </si>
  <si>
    <t>ORD0077</t>
  </si>
  <si>
    <t>CUST002</t>
  </si>
  <si>
    <t>ORD0078</t>
  </si>
  <si>
    <t>ORD0079</t>
  </si>
  <si>
    <t>ORD0080</t>
  </si>
  <si>
    <t>ORD0081</t>
  </si>
  <si>
    <t>ORD0082</t>
  </si>
  <si>
    <t>ORD0083</t>
  </si>
  <si>
    <t>ORD0084</t>
  </si>
  <si>
    <t>CUST030</t>
  </si>
  <si>
    <t>ORD0085</t>
  </si>
  <si>
    <t>ORD0086</t>
  </si>
  <si>
    <t>ORD0087</t>
  </si>
  <si>
    <t>ORD0088</t>
  </si>
  <si>
    <t>ORD0089</t>
  </si>
  <si>
    <t>ORD0090</t>
  </si>
  <si>
    <t>CUST045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</si>
  <si>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</si>
  <si>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</si>
  <si>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</si>
  <si>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</si>
  <si>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</si>
  <si>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</si>
  <si>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</si>
  <si>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</si>
  <si>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</si>
  <si>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</si>
  <si>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</si>
  <si>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CUST010</t>
  </si>
  <si>
    <t>ORD0102</t>
  </si>
  <si>
    <t>ORD0103</t>
  </si>
  <si>
    <t>ORD0104</t>
  </si>
  <si>
    <t>ORD0105</t>
  </si>
  <si>
    <t>ORD0106</t>
  </si>
  <si>
    <t>ORD0107</t>
  </si>
  <si>
    <t>CUST046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</si>
  <si>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</si>
  <si>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</si>
  <si>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</si>
  <si>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</si>
  <si>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</si>
  <si>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</si>
  <si>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</si>
  <si>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</si>
  <si>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</si>
  <si>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</si>
  <si>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</si>
  <si>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</si>
  <si>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</si>
  <si>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</si>
  <si>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</si>
  <si>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</si>
  <si>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</si>
  <si>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</si>
  <si>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</si>
  <si>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</si>
  <si>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</si>
  <si>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</si>
  <si>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</si>
  <si>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</si>
  <si>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</si>
  <si>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</si>
  <si>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</si>
  <si>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</si>
  <si>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</si>
  <si>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</si>
  <si>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</si>
  <si>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</si>
  <si>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</si>
  <si>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</si>
  <si>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</si>
  <si>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</si>
  <si>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</si>
  <si>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</si>
  <si>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</si>
  <si>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</si>
  <si>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</si>
  <si>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</si>
  <si>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</si>
  <si>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CUST012</t>
  </si>
  <si>
    <t>Profit Margin</t>
  </si>
  <si>
    <t>Average Order Value</t>
  </si>
  <si>
    <t>customer_name</t>
  </si>
  <si>
    <t>region</t>
  </si>
  <si>
    <t>segment</t>
  </si>
  <si>
    <t>Customer_1</t>
  </si>
  <si>
    <t>North</t>
  </si>
  <si>
    <t>Consumer</t>
  </si>
  <si>
    <t>Customer_2</t>
  </si>
  <si>
    <t>East</t>
  </si>
  <si>
    <t>Customer_3</t>
  </si>
  <si>
    <t>South</t>
  </si>
  <si>
    <t>Customer_4</t>
  </si>
  <si>
    <t>Home Office</t>
  </si>
  <si>
    <t>Customer_5</t>
  </si>
  <si>
    <t>Customer_6</t>
  </si>
  <si>
    <t>West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</si>
  <si>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</si>
  <si>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</si>
  <si>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</si>
  <si>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</si>
  <si>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</si>
  <si>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</si>
  <si>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</si>
  <si>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</si>
  <si>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</si>
  <si>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Corporate</t>
  </si>
  <si>
    <t>Customer_16</t>
  </si>
  <si>
    <t>Customer_17</t>
  </si>
  <si>
    <t>Customer_18</t>
  </si>
  <si>
    <t>Customer_19</t>
  </si>
  <si>
    <t>CUST020</t>
  </si>
  <si>
    <t>Customer_20</t>
  </si>
  <si>
    <t>Customer_21</t>
  </si>
  <si>
    <t>Customer_22</t>
  </si>
  <si>
    <t>Customer_23</t>
  </si>
  <si>
    <t>CUST024</t>
  </si>
  <si>
    <t>Customer_24</t>
  </si>
  <si>
    <t>Customer_25</t>
  </si>
  <si>
    <t>CUST026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</si>
  <si>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</si>
  <si>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</si>
  <si>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</si>
  <si>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</si>
  <si>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</si>
  <si>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</si>
  <si>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</si>
  <si>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</si>
  <si>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</si>
  <si>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</si>
  <si>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</si>
  <si>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</si>
  <si>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</si>
  <si>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</si>
  <si>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</si>
  <si>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</si>
  <si>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</si>
  <si>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</si>
  <si>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</si>
  <si>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</si>
  <si>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</si>
  <si>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</si>
  <si>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CUST048</t>
  </si>
  <si>
    <t>Customer_48</t>
  </si>
  <si>
    <t>Customer_49</t>
  </si>
  <si>
    <t>Customer_50</t>
  </si>
  <si>
    <t>Total sales</t>
  </si>
  <si>
    <t>Region</t>
  </si>
  <si>
    <t>Segment</t>
  </si>
  <si>
    <t>Product Category</t>
  </si>
  <si>
    <t>Total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</si>
  <si>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</si>
  <si>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</si>
  <si>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</si>
  <si>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</si>
  <si>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</si>
  <si>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</si>
  <si>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</si>
  <si>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</si>
  <si>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</si>
  <si>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</si>
  <si>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</si>
  <si>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</si>
  <si>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 xml:space="preserve"> </t>
    </r>
    <r>
      <rPr>
        <sz val="20"/>
        <color rgb="FF002060"/>
        <rFont val="Times New Roman"/>
        <family val="1"/>
      </rPr>
      <t xml:space="preserve">            Sales Analysis by Region and Segment</t>
    </r>
  </si>
  <si>
    <r>
      <t xml:space="preserve">   </t>
    </r>
    <r>
      <rPr>
        <sz val="20"/>
        <color rgb="FF002060"/>
        <rFont val="Times New Roman"/>
        <family val="1"/>
      </rPr>
      <t xml:space="preserve">              Monthly sales trend</t>
    </r>
  </si>
  <si>
    <r>
      <t xml:space="preserve">               </t>
    </r>
    <r>
      <rPr>
        <sz val="20"/>
        <color rgb="FF002060"/>
        <rFont val="Times New Roman"/>
        <family val="1"/>
      </rPr>
      <t xml:space="preserve">    Top 10 customers</t>
    </r>
  </si>
  <si>
    <r>
      <t xml:space="preserve">               </t>
    </r>
    <r>
      <rPr>
        <sz val="20"/>
        <color rgb="FF002060"/>
        <rFont val="Times New Roman"/>
        <family val="1"/>
      </rPr>
      <t xml:space="preserve"> Profit Analysis by Category and Region</t>
    </r>
  </si>
  <si>
    <t>Months</t>
  </si>
  <si>
    <t>Customer_names</t>
  </si>
  <si>
    <r>
      <t xml:space="preserve">                              </t>
    </r>
    <r>
      <rPr>
        <sz val="24"/>
        <color theme="3" tint="-0.499984740745262"/>
        <rFont val="Times New Roman"/>
        <family val="1"/>
      </rPr>
      <t xml:space="preserve"> </t>
    </r>
    <r>
      <rPr>
        <b/>
        <u/>
        <sz val="24"/>
        <color theme="3" tint="-0.499984740745262"/>
        <rFont val="Times New Roman"/>
        <family val="1"/>
      </rPr>
      <t>Excel Advanced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</si>
</sst>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Times New Roman"/>
      <family val="1"/>
    </font>
    <font>
      <sz val="24"/>
      <color theme="1"/>
      <name val="Times New Roman"/>
      <family val="1"/>
    </font>
    <font>
      <sz val="20"/>
      <color rgb="FF002060"/>
      <name val="Times New Roman"/>
      <family val="1"/>
    </font>
    <font>
      <sz val="24"/>
      <color theme="3" tint="-0.499984740745262"/>
      <name val="Times New Roman"/>
      <family val="1"/>
    </font>
    <font>
      <sz val="14"/>
      <color theme="1"/>
      <name val="Times New Roman"/>
      <family val="1"/>
    </font>
    <font>
      <b/>
      <u/>
      <sz val="24"/>
      <color theme="3" tint="-0.49998474074526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33" borderId="0" xfId="0" applyFill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22" fillId="33" borderId="10" xfId="0" applyFont="1" applyFill="1" applyBorder="1"/>
    <xf numFmtId="0" fontId="22" fillId="33" borderId="10" xfId="0" applyFont="1" applyFill="1" applyBorder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90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TI" refreshedDate="46178.760212962959" createdVersion="8" refreshedVersion="8" minRefreshableVersion="3" recordCount="150" xr:uid="{00000000-000A-0000-FFFF-FFFF1F000000}">
  <cacheSource type="worksheet">
    <worksheetSource name="Table1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12-29T00:00:00" count="118">
        <d v="2025-10-27T00:00:00"/>
        <d v="2025-02-16T00:00:00"/>
        <d v="2025-08-05T00:00:00"/>
        <d v="2025-10-11T00:00:00"/>
        <d v="2025-06-24T00:00:00"/>
        <d v="2025-05-15T00:00:00"/>
        <d v="2025-09-17T00:00:00"/>
        <d v="2025-09-29T00:00:00"/>
        <d v="2025-06-07T00:00:00"/>
        <d v="2025-09-06T00:00:00"/>
        <d v="2025-03-26T00:00:00"/>
        <d v="2025-12-20T00:00:00"/>
        <d v="2025-08-20T00:00:00"/>
        <d v="2025-04-28T00:00:00"/>
        <d v="2025-01-17T00:00:00"/>
        <d v="2025-03-09T00:00:00"/>
        <d v="2025-04-08T00:00:00"/>
        <d v="2025-01-28T00:00:00"/>
        <d v="2025-02-08T00:00:00"/>
        <d v="2025-05-02T00:00:00"/>
        <d v="2025-12-23T00:00:00"/>
        <d v="2025-04-22T00:00:00"/>
        <d v="2025-09-18T00:00:00"/>
        <d v="2025-10-19T00:00:00"/>
        <d v="2025-10-26T00:00:00"/>
        <d v="2025-06-10T00:00:00"/>
        <d v="2025-02-07T00:00:00"/>
        <d v="2025-04-20T00:00:00"/>
        <d v="2025-07-09T00:00:00"/>
        <d v="2025-12-01T00:00:00"/>
        <d v="2025-02-23T00:00:00"/>
        <d v="2025-05-25T00:00:00"/>
        <d v="2025-05-09T00:00:00"/>
        <d v="2025-03-08T00:00:00"/>
        <d v="2025-10-15T00:00:00"/>
        <d v="2025-01-21T00:00:00"/>
        <d v="2025-07-28T00:00:00"/>
        <d v="2025-04-01T00:00:00"/>
        <d v="2025-05-08T00:00:00"/>
        <d v="2025-08-29T00:00:00"/>
        <d v="2025-04-27T00:00:00"/>
        <d v="2025-02-05T00:00:00"/>
        <d v="2025-10-02T00:00:00"/>
        <d v="2025-05-16T00:00:00"/>
        <d v="2025-09-19T00:00:00"/>
        <d v="2025-08-12T00:00:00"/>
        <d v="2025-12-08T00:00:00"/>
        <d v="2025-08-04T00:00:00"/>
        <d v="2025-07-27T00:00:00"/>
        <d v="2025-11-07T00:00:00"/>
        <d v="2025-03-28T00:00:00"/>
        <d v="2025-05-01T00:00:00"/>
        <d v="2025-05-06T00:00:00"/>
        <d v="2025-11-19T00:00:00"/>
        <d v="2025-03-17T00:00:00"/>
        <d v="2025-08-26T00:00:00"/>
        <d v="2025-08-15T00:00:00"/>
        <d v="2025-09-01T00:00:00"/>
        <d v="2025-05-03T00:00:00"/>
        <d v="2025-06-13T00:00:00"/>
        <d v="2025-12-28T00:00:00"/>
        <d v="2025-02-01T00:00:00"/>
        <d v="2025-10-22T00:00:00"/>
        <d v="2025-08-03T00:00:00"/>
        <d v="2025-03-07T00:00:00"/>
        <d v="2025-01-14T00:00:00"/>
        <d v="2025-07-14T00:00:00"/>
        <d v="2025-06-29T00:00:00"/>
        <d v="2025-04-13T00:00:00"/>
        <d v="2025-10-16T00:00:00"/>
        <d v="2025-02-28T00:00:00"/>
        <d v="2025-06-09T00:00:00"/>
        <d v="2025-11-18T00:00:00"/>
        <d v="2025-10-17T00:00:00"/>
        <d v="2025-11-22T00:00:00"/>
        <d v="2025-10-03T00:00:00"/>
        <d v="2025-12-09T00:00:00"/>
        <d v="2025-07-01T00:00:00"/>
        <d v="2025-09-22T00:00:00"/>
        <d v="2025-05-04T00:00:00"/>
        <d v="2025-02-17T00:00:00"/>
        <d v="2025-07-08T00:00:00"/>
        <d v="2025-12-26T00:00:00"/>
        <d v="2025-06-11T00:00:00"/>
        <d v="2025-09-05T00:00:00"/>
        <d v="2025-02-21T00:00:00"/>
        <d v="2025-10-01T00:00:00"/>
        <d v="2025-03-06T00:00:00"/>
        <d v="2025-09-03T00:00:00"/>
        <d v="2025-09-02T00:00:00"/>
        <d v="2025-03-02T00:00:00"/>
        <d v="2025-11-14T00:00:00"/>
        <d v="2025-01-02T00:00:00"/>
        <d v="2025-05-28T00:00:00"/>
        <d v="2025-04-26T00:00:00"/>
        <d v="2025-06-05T00:00:00"/>
        <d v="2025-02-11T00:00:00"/>
        <d v="2025-03-31T00:00:00"/>
        <d v="2025-06-14T00:00:00"/>
        <d v="2025-01-01T00:00:00"/>
        <d v="2025-11-15T00:00:00"/>
        <d v="2025-11-28T00:00:00"/>
        <d v="2025-08-01T00:00:00"/>
        <d v="2025-11-03T00:00:00"/>
        <d v="2025-12-04T00:00:00"/>
        <d v="2025-10-06T00:00:00"/>
        <d v="2025-04-30T00:00:00"/>
        <d v="2025-12-06T00:00:00"/>
        <d v="2025-10-30T00:00:00"/>
        <d v="2025-08-22T00:00:00"/>
        <d v="2025-11-21T00:00:00"/>
        <d v="2025-01-29T00:00:00"/>
        <d v="2025-11-23T00:00:00"/>
        <d v="2025-12-13T00:00:00"/>
        <d v="2025-08-06T00:00:00"/>
        <d v="2025-12-25T00:00:00"/>
        <d v="2025-12-18T00:00:00"/>
        <d v="2025-01-18T00:00:00"/>
      </sharedItems>
      <fieldGroup par="13" base="1">
        <rangePr groupBy="days" startDate="2025-01-01T00:00:00" endDate="2025-12-29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2-2025"/>
        </groupItems>
      </fieldGroup>
    </cacheField>
    <cacheField name="customer_id" numFmtId="0">
      <sharedItems/>
    </cacheField>
    <cacheField name="product_category" numFmtId="0">
      <sharedItems count="5">
        <s v="Food"/>
        <s v="Electronics"/>
        <s v="Office Supplies"/>
        <s v="Furniture"/>
        <s v="Clothing"/>
      </sharedItems>
    </cacheField>
    <cacheField name="sales" numFmtId="0">
      <sharedItems containsSemiMixedTypes="0" containsString="0" containsNumber="1" minValue="79.19" maxValue="4987.26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minValue="4.87" maxValue="1321.52"/>
    </cacheField>
    <cacheField name="discount" numFmtId="0">
      <sharedItems containsSemiMixedTypes="0" containsString="0" containsNumber="1" minValue="0" maxValue="0.2"/>
    </cacheField>
    <cacheField name="Profit Margin" numFmtId="9">
      <sharedItems containsSemiMixedTypes="0" containsString="0" containsNumber="1" minValue="1.3419692318054004E-2" maxValue="0.29997645099704795"/>
    </cacheField>
    <cacheField name="Average Order Value" numFmtId="0">
      <sharedItems containsSemiMixedTypes="0" containsString="0" containsNumber="1" minValue="2380.9676923076922" maxValue="3675.18"/>
    </cacheField>
    <cacheField name="region" numFmtId="0">
      <sharedItems count="4">
        <s v="North"/>
        <s v="West"/>
        <s v="South"/>
        <s v="East"/>
      </sharedItems>
    </cacheField>
    <cacheField name="segment" numFmtId="0">
      <sharedItems count="3">
        <s v="Consumer"/>
        <s v="Corporate"/>
        <s v="Home Office"/>
      </sharedItems>
    </cacheField>
    <cacheField name="customer_name" numFmtId="0">
      <sharedItems count="46">
        <s v="Customer_28"/>
        <s v="Customer_49"/>
        <s v="Customer_39"/>
        <s v="Customer_1"/>
        <s v="Customer_8"/>
        <s v="Customer_33"/>
        <s v="Customer_16"/>
        <s v="Customer_5"/>
        <s v="Customer_17"/>
        <s v="Customer_13"/>
        <s v="Customer_38"/>
        <s v="Customer_22"/>
        <s v="Customer_47"/>
        <s v="Customer_7"/>
        <s v="Customer_44"/>
        <s v="Customer_35"/>
        <s v="Customer_29"/>
        <s v="Customer_11"/>
        <s v="Customer_25"/>
        <s v="Customer_4"/>
        <s v="Customer_31"/>
        <s v="Customer_6"/>
        <s v="Customer_37"/>
        <s v="Customer_19"/>
        <s v="Customer_34"/>
        <s v="Customer_9"/>
        <s v="Customer_41"/>
        <s v="Customer_23"/>
        <s v="Customer_40"/>
        <s v="Customer_27"/>
        <s v="Customer_18"/>
        <s v="Customer_15"/>
        <s v="Customer_50"/>
        <s v="Customer_3"/>
        <s v="Customer_43"/>
        <s v="Customer_36"/>
        <s v="Customer_42"/>
        <s v="Customer_14"/>
        <s v="Customer_32"/>
        <s v="Customer_21"/>
        <s v="Customer_2"/>
        <s v="Customer_30"/>
        <s v="Customer_45"/>
        <s v="Customer_10"/>
        <s v="Customer_46"/>
        <s v="Customer_12"/>
      </sharedItems>
    </cacheField>
    <cacheField name="Months" numFmtId="0" databaseField="0">
      <fieldGroup base="1">
        <rangePr groupBy="months" startDate="2025-01-01T00:00:00" endDate="2025-12-29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s v="ORD0001"/>
    <x v="0"/>
    <s v="CUST028"/>
    <x v="0"/>
    <n v="1361.16"/>
    <n v="4"/>
    <n v="197.02"/>
    <n v="0.2"/>
    <n v="0.1447441887801581"/>
    <n v="2613.2766000000011"/>
    <x v="0"/>
    <x v="0"/>
    <x v="0"/>
  </r>
  <r>
    <s v="ORD0002"/>
    <x v="1"/>
    <s v="CUST049"/>
    <x v="1"/>
    <n v="2027.03"/>
    <n v="4"/>
    <n v="339.29"/>
    <n v="0.05"/>
    <n v="0.16738282117186229"/>
    <n v="2621.6800671140954"/>
    <x v="1"/>
    <x v="1"/>
    <x v="1"/>
  </r>
  <r>
    <s v="ORD0003"/>
    <x v="2"/>
    <s v="CUST039"/>
    <x v="1"/>
    <n v="4312.46"/>
    <n v="3"/>
    <n v="1026.45"/>
    <n v="0.05"/>
    <n v="0.23801959902236774"/>
    <n v="2625.6979729729742"/>
    <x v="2"/>
    <x v="0"/>
    <x v="2"/>
  </r>
  <r>
    <s v="ORD0004"/>
    <x v="3"/>
    <s v="CUST001"/>
    <x v="1"/>
    <n v="1954.6"/>
    <n v="10"/>
    <n v="297.64"/>
    <n v="0.15"/>
    <n v="0.15227668065077254"/>
    <n v="2614.2234013605453"/>
    <x v="0"/>
    <x v="0"/>
    <x v="3"/>
  </r>
  <r>
    <s v="ORD0005"/>
    <x v="4"/>
    <s v="CUST008"/>
    <x v="2"/>
    <n v="3424.47"/>
    <n v="9"/>
    <n v="760.74"/>
    <n v="0.1"/>
    <n v="0.22214824483788734"/>
    <n v="2618.7413698630148"/>
    <x v="2"/>
    <x v="0"/>
    <x v="4"/>
  </r>
  <r>
    <s v="ORD0006"/>
    <x v="5"/>
    <s v="CUST033"/>
    <x v="3"/>
    <n v="2202.09"/>
    <n v="8"/>
    <n v="635.20000000000005"/>
    <n v="0"/>
    <n v="0.28845324214723284"/>
    <n v="2613.1846206896562"/>
    <x v="3"/>
    <x v="0"/>
    <x v="5"/>
  </r>
  <r>
    <s v="ORD0007"/>
    <x v="6"/>
    <s v="CUST039"/>
    <x v="3"/>
    <n v="2563.02"/>
    <n v="2"/>
    <n v="616.19000000000005"/>
    <n v="0.1"/>
    <n v="0.24041560346778412"/>
    <n v="2616.0394444444455"/>
    <x v="2"/>
    <x v="0"/>
    <x v="2"/>
  </r>
  <r>
    <s v="ORD0008"/>
    <x v="7"/>
    <s v="CUST001"/>
    <x v="0"/>
    <n v="806.55"/>
    <n v="3"/>
    <n v="200.33"/>
    <n v="0.2"/>
    <n v="0.24837889777447156"/>
    <n v="2616.4102097902105"/>
    <x v="0"/>
    <x v="0"/>
    <x v="3"/>
  </r>
  <r>
    <s v="ORD0009"/>
    <x v="8"/>
    <s v="CUST016"/>
    <x v="1"/>
    <n v="1654.57"/>
    <n v="1"/>
    <n v="467.04"/>
    <n v="0"/>
    <n v="0.28227273551436327"/>
    <n v="2629.155704225353"/>
    <x v="3"/>
    <x v="0"/>
    <x v="6"/>
  </r>
  <r>
    <s v="ORD0010"/>
    <x v="9"/>
    <s v="CUST005"/>
    <x v="0"/>
    <n v="1242.31"/>
    <n v="10"/>
    <n v="88.72"/>
    <n v="0"/>
    <n v="7.1415347216073288E-2"/>
    <n v="2636.067659574469"/>
    <x v="0"/>
    <x v="2"/>
    <x v="7"/>
  </r>
  <r>
    <s v="ORD0011"/>
    <x v="10"/>
    <s v="CUST017"/>
    <x v="0"/>
    <n v="3840.88"/>
    <n v="3"/>
    <n v="986"/>
    <n v="0.15"/>
    <n v="0.25671200349919809"/>
    <n v="2646.0230714285722"/>
    <x v="2"/>
    <x v="1"/>
    <x v="8"/>
  </r>
  <r>
    <s v="ORD0012"/>
    <x v="11"/>
    <s v="CUST013"/>
    <x v="2"/>
    <n v="4368.54"/>
    <n v="7"/>
    <n v="1189.24"/>
    <n v="0.05"/>
    <n v="0.27222825017053753"/>
    <n v="2637.4269784172675"/>
    <x v="3"/>
    <x v="0"/>
    <x v="9"/>
  </r>
  <r>
    <s v="ORD0013"/>
    <x v="12"/>
    <s v="CUST008"/>
    <x v="3"/>
    <n v="2025.01"/>
    <n v="6"/>
    <n v="495.93"/>
    <n v="0.15"/>
    <n v="0.24490249430867009"/>
    <n v="2624.8826811594213"/>
    <x v="2"/>
    <x v="0"/>
    <x v="4"/>
  </r>
  <r>
    <s v="ORD0014"/>
    <x v="13"/>
    <s v="CUST038"/>
    <x v="3"/>
    <n v="1162.25"/>
    <n v="6"/>
    <n v="229.05"/>
    <n v="0"/>
    <n v="0.19707463970746397"/>
    <n v="2629.2613138686143"/>
    <x v="2"/>
    <x v="2"/>
    <x v="10"/>
  </r>
  <r>
    <s v="ORD0015"/>
    <x v="14"/>
    <s v="CUST022"/>
    <x v="1"/>
    <n v="85.59"/>
    <n v="1"/>
    <n v="4.87"/>
    <n v="0.05"/>
    <n v="5.689917046383923E-2"/>
    <n v="2640.0481617647065"/>
    <x v="1"/>
    <x v="2"/>
    <x v="11"/>
  </r>
  <r>
    <s v="ORD0016"/>
    <x v="15"/>
    <s v="CUST047"/>
    <x v="0"/>
    <n v="2595.0700000000002"/>
    <n v="5"/>
    <n v="190.89"/>
    <n v="0.15"/>
    <n v="7.3558709398975741E-2"/>
    <n v="2658.970074074075"/>
    <x v="2"/>
    <x v="2"/>
    <x v="12"/>
  </r>
  <r>
    <s v="ORD0017"/>
    <x v="16"/>
    <s v="CUST007"/>
    <x v="1"/>
    <n v="2902.25"/>
    <n v="4"/>
    <n v="643.92999999999995"/>
    <n v="0.15"/>
    <n v="0.22187268498578688"/>
    <n v="2659.4469402985083"/>
    <x v="0"/>
    <x v="0"/>
    <x v="13"/>
  </r>
  <r>
    <s v="ORD0018"/>
    <x v="17"/>
    <s v="CUST044"/>
    <x v="1"/>
    <n v="3311.96"/>
    <n v="6"/>
    <n v="406.63"/>
    <n v="0.15"/>
    <n v="0.1227762412589524"/>
    <n v="2657.6213533834593"/>
    <x v="2"/>
    <x v="0"/>
    <x v="14"/>
  </r>
  <r>
    <s v="ORD0019"/>
    <x v="16"/>
    <s v="CUST035"/>
    <x v="4"/>
    <n v="350.03"/>
    <n v="6"/>
    <n v="39.26"/>
    <n v="0"/>
    <n v="0.11216181470159702"/>
    <n v="2652.6642424242427"/>
    <x v="2"/>
    <x v="2"/>
    <x v="15"/>
  </r>
  <r>
    <s v="ORD0020"/>
    <x v="18"/>
    <s v="CUST029"/>
    <x v="0"/>
    <n v="743.9"/>
    <n v="3"/>
    <n v="108.35"/>
    <n v="0.1"/>
    <n v="0.14565129721736791"/>
    <n v="2670.2416030534355"/>
    <x v="2"/>
    <x v="1"/>
    <x v="16"/>
  </r>
  <r>
    <s v="ORD0021"/>
    <x v="19"/>
    <s v="CUST011"/>
    <x v="4"/>
    <n v="534.65"/>
    <n v="9"/>
    <n v="156.25"/>
    <n v="0"/>
    <n v="0.29224726456560368"/>
    <n v="2685.0596153846154"/>
    <x v="1"/>
    <x v="0"/>
    <x v="17"/>
  </r>
  <r>
    <s v="ORD0022"/>
    <x v="10"/>
    <s v="CUST025"/>
    <x v="1"/>
    <n v="2453.92"/>
    <n v="4"/>
    <n v="602.71"/>
    <n v="0.15"/>
    <n v="0.24561110386646673"/>
    <n v="2701.7294573643408"/>
    <x v="3"/>
    <x v="2"/>
    <x v="18"/>
  </r>
  <r>
    <s v="ORD0023"/>
    <x v="20"/>
    <s v="CUST047"/>
    <x v="0"/>
    <n v="4927.28"/>
    <n v="5"/>
    <n v="449.92"/>
    <n v="0.15"/>
    <n v="9.1312042343848945E-2"/>
    <n v="2703.6654687499999"/>
    <x v="2"/>
    <x v="2"/>
    <x v="12"/>
  </r>
  <r>
    <s v="ORD0024"/>
    <x v="21"/>
    <s v="CUST004"/>
    <x v="0"/>
    <n v="3326.26"/>
    <n v="8"/>
    <n v="290.95999999999998"/>
    <n v="0.05"/>
    <n v="8.7473619019559495E-2"/>
    <n v="2686.1566929133855"/>
    <x v="0"/>
    <x v="2"/>
    <x v="19"/>
  </r>
  <r>
    <s v="ORD0025"/>
    <x v="0"/>
    <s v="CUST031"/>
    <x v="0"/>
    <n v="3691.9"/>
    <n v="1"/>
    <n v="163.52000000000001"/>
    <n v="0.1"/>
    <n v="4.4291557192773369E-2"/>
    <n v="2681.0765079365078"/>
    <x v="0"/>
    <x v="1"/>
    <x v="20"/>
  </r>
  <r>
    <s v="ORD0026"/>
    <x v="22"/>
    <s v="CUST006"/>
    <x v="3"/>
    <n v="4600.97"/>
    <n v="9"/>
    <n v="249.46"/>
    <n v="0.05"/>
    <n v="5.4219001645305229E-2"/>
    <n v="2672.9899200000004"/>
    <x v="1"/>
    <x v="0"/>
    <x v="21"/>
  </r>
  <r>
    <s v="ORD0027"/>
    <x v="23"/>
    <s v="CUST016"/>
    <x v="0"/>
    <n v="389.18"/>
    <n v="2"/>
    <n v="54.85"/>
    <n v="0.05"/>
    <n v="0.14093735546533737"/>
    <n v="2657.4416935483873"/>
    <x v="3"/>
    <x v="0"/>
    <x v="6"/>
  </r>
  <r>
    <s v="ORD0028"/>
    <x v="24"/>
    <s v="CUST037"/>
    <x v="0"/>
    <n v="2992.87"/>
    <n v="10"/>
    <n v="463.31"/>
    <n v="0"/>
    <n v="0.15480458556502621"/>
    <n v="2675.8828455284556"/>
    <x v="0"/>
    <x v="2"/>
    <x v="22"/>
  </r>
  <r>
    <s v="ORD0029"/>
    <x v="25"/>
    <s v="CUST016"/>
    <x v="2"/>
    <n v="1616.03"/>
    <n v="5"/>
    <n v="335.22"/>
    <n v="0.05"/>
    <n v="0.20743426792819442"/>
    <n v="2673.2845901639353"/>
    <x v="3"/>
    <x v="0"/>
    <x v="6"/>
  </r>
  <r>
    <s v="ORD0030"/>
    <x v="26"/>
    <s v="CUST001"/>
    <x v="4"/>
    <n v="2009.14"/>
    <n v="5"/>
    <n v="198.99"/>
    <n v="0.15"/>
    <n v="9.9042376340125624E-2"/>
    <n v="2682.0222314049597"/>
    <x v="0"/>
    <x v="0"/>
    <x v="3"/>
  </r>
  <r>
    <s v="ORD0031"/>
    <x v="27"/>
    <s v="CUST033"/>
    <x v="2"/>
    <n v="3124.74"/>
    <n v="10"/>
    <n v="213.47"/>
    <n v="0"/>
    <n v="6.8316083898180335E-2"/>
    <n v="2687.6295833333343"/>
    <x v="3"/>
    <x v="0"/>
    <x v="5"/>
  </r>
  <r>
    <s v="ORD0032"/>
    <x v="28"/>
    <s v="CUST019"/>
    <x v="3"/>
    <n v="705.66"/>
    <n v="6"/>
    <n v="190.4"/>
    <n v="0"/>
    <n v="0.26981832610605677"/>
    <n v="2683.9563865546224"/>
    <x v="1"/>
    <x v="0"/>
    <x v="23"/>
  </r>
  <r>
    <s v="ORD0033"/>
    <x v="29"/>
    <s v="CUST034"/>
    <x v="1"/>
    <n v="2219.0100000000002"/>
    <n v="9"/>
    <n v="405.9"/>
    <n v="0.1"/>
    <n v="0.18291941000716533"/>
    <n v="2700.7216101694921"/>
    <x v="3"/>
    <x v="1"/>
    <x v="24"/>
  </r>
  <r>
    <s v="ORD0034"/>
    <x v="30"/>
    <s v="CUST009"/>
    <x v="2"/>
    <n v="3355.92"/>
    <n v="9"/>
    <n v="882.4"/>
    <n v="0.1"/>
    <n v="0.26293832987675508"/>
    <n v="2704.8388034188047"/>
    <x v="0"/>
    <x v="2"/>
    <x v="25"/>
  </r>
  <r>
    <s v="ORD0035"/>
    <x v="31"/>
    <s v="CUST039"/>
    <x v="3"/>
    <n v="621.37"/>
    <n v="2"/>
    <n v="30.36"/>
    <n v="0.2"/>
    <n v="4.8859777588232456E-2"/>
    <n v="2699.2260344827596"/>
    <x v="2"/>
    <x v="0"/>
    <x v="2"/>
  </r>
  <r>
    <s v="ORD0036"/>
    <x v="32"/>
    <s v="CUST004"/>
    <x v="1"/>
    <n v="3602.18"/>
    <n v="4"/>
    <n v="563.21"/>
    <n v="0.1"/>
    <n v="0.15635254207174545"/>
    <n v="2717.2943478260877"/>
    <x v="0"/>
    <x v="2"/>
    <x v="19"/>
  </r>
  <r>
    <s v="ORD0037"/>
    <x v="33"/>
    <s v="CUST041"/>
    <x v="2"/>
    <n v="3189.71"/>
    <n v="5"/>
    <n v="162.31"/>
    <n v="0"/>
    <n v="5.0885503697828328E-2"/>
    <n v="2709.5321929824572"/>
    <x v="3"/>
    <x v="2"/>
    <x v="26"/>
  </r>
  <r>
    <s v="ORD0038"/>
    <x v="34"/>
    <s v="CUST001"/>
    <x v="1"/>
    <n v="849.83"/>
    <n v="8"/>
    <n v="158.41999999999999"/>
    <n v="0.2"/>
    <n v="0.18641375333890306"/>
    <n v="2705.2828318584079"/>
    <x v="0"/>
    <x v="0"/>
    <x v="3"/>
  </r>
  <r>
    <s v="ORD0039"/>
    <x v="28"/>
    <s v="CUST038"/>
    <x v="0"/>
    <n v="422.46"/>
    <n v="3"/>
    <n v="8.0299999999999994"/>
    <n v="0.2"/>
    <n v="1.9007716706907162E-2"/>
    <n v="2721.8493750000007"/>
    <x v="2"/>
    <x v="2"/>
    <x v="10"/>
  </r>
  <r>
    <s v="ORD0040"/>
    <x v="35"/>
    <s v="CUST023"/>
    <x v="3"/>
    <n v="783.06"/>
    <n v="3"/>
    <n v="99.5"/>
    <n v="0"/>
    <n v="0.12706561438459379"/>
    <n v="2742.5645945945953"/>
    <x v="0"/>
    <x v="1"/>
    <x v="27"/>
  </r>
  <r>
    <s v="ORD0041"/>
    <x v="36"/>
    <s v="CUST040"/>
    <x v="3"/>
    <n v="3426.23"/>
    <n v="2"/>
    <n v="771"/>
    <n v="0.1"/>
    <n v="0.22502867583320443"/>
    <n v="2760.3782727272737"/>
    <x v="1"/>
    <x v="1"/>
    <x v="28"/>
  </r>
  <r>
    <s v="ORD0042"/>
    <x v="37"/>
    <s v="CUST027"/>
    <x v="1"/>
    <n v="4632.53"/>
    <n v="4"/>
    <n v="1315.88"/>
    <n v="0.05"/>
    <n v="0.28405212702346239"/>
    <n v="2754.2695412844046"/>
    <x v="2"/>
    <x v="2"/>
    <x v="29"/>
  </r>
  <r>
    <s v="ORD0043"/>
    <x v="38"/>
    <s v="CUST018"/>
    <x v="3"/>
    <n v="937.84"/>
    <n v="6"/>
    <n v="206.85"/>
    <n v="0.15"/>
    <n v="0.22056001023628763"/>
    <n v="2736.8782407407416"/>
    <x v="0"/>
    <x v="0"/>
    <x v="30"/>
  </r>
  <r>
    <s v="ORD0044"/>
    <x v="39"/>
    <s v="CUST015"/>
    <x v="3"/>
    <n v="3947.5"/>
    <n v="2"/>
    <n v="939.67"/>
    <n v="0.15"/>
    <n v="0.2380417986067131"/>
    <n v="2753.6916822429916"/>
    <x v="1"/>
    <x v="1"/>
    <x v="31"/>
  </r>
  <r>
    <s v="ORD0045"/>
    <x v="40"/>
    <s v="CUST015"/>
    <x v="1"/>
    <n v="4092.1"/>
    <n v="8"/>
    <n v="434.98"/>
    <n v="0.1"/>
    <n v="0.10629750006109333"/>
    <n v="2742.4293396226421"/>
    <x v="1"/>
    <x v="1"/>
    <x v="31"/>
  </r>
  <r>
    <s v="ORD0046"/>
    <x v="41"/>
    <s v="CUST050"/>
    <x v="2"/>
    <n v="3317.16"/>
    <n v="7"/>
    <n v="330.56"/>
    <n v="0.1"/>
    <n v="9.9651509122261214E-2"/>
    <n v="2729.5753333333337"/>
    <x v="1"/>
    <x v="0"/>
    <x v="32"/>
  </r>
  <r>
    <s v="ORD0047"/>
    <x v="42"/>
    <s v="CUST022"/>
    <x v="1"/>
    <n v="1788.17"/>
    <n v="9"/>
    <n v="339.54"/>
    <n v="0.15"/>
    <n v="0.18988127527024837"/>
    <n v="2723.9254807692314"/>
    <x v="1"/>
    <x v="2"/>
    <x v="11"/>
  </r>
  <r>
    <s v="ORD0048"/>
    <x v="43"/>
    <s v="CUST003"/>
    <x v="1"/>
    <n v="620.94000000000005"/>
    <n v="5"/>
    <n v="114.97"/>
    <n v="0.05"/>
    <n v="0.18515476535575093"/>
    <n v="2733.0104854368938"/>
    <x v="2"/>
    <x v="0"/>
    <x v="33"/>
  </r>
  <r>
    <s v="ORD0049"/>
    <x v="44"/>
    <s v="CUST008"/>
    <x v="4"/>
    <n v="3003.03"/>
    <n v="6"/>
    <n v="417.72"/>
    <n v="0.1"/>
    <n v="0.13909950949540964"/>
    <n v="2753.7170588235299"/>
    <x v="2"/>
    <x v="0"/>
    <x v="4"/>
  </r>
  <r>
    <s v="ORD0050"/>
    <x v="45"/>
    <s v="CUST001"/>
    <x v="0"/>
    <n v="4502.55"/>
    <n v="4"/>
    <n v="185.04"/>
    <n v="0.1"/>
    <n v="4.1096711863277471E-2"/>
    <n v="2751.2486138613867"/>
    <x v="0"/>
    <x v="0"/>
    <x v="3"/>
  </r>
  <r>
    <s v="ORD0051"/>
    <x v="41"/>
    <s v="CUST043"/>
    <x v="2"/>
    <n v="4631.6000000000004"/>
    <n v="9"/>
    <n v="607"/>
    <n v="0.05"/>
    <n v="0.13105622247171603"/>
    <n v="2733.7356000000004"/>
    <x v="3"/>
    <x v="0"/>
    <x v="34"/>
  </r>
  <r>
    <s v="ORD0052"/>
    <x v="46"/>
    <s v="CUST027"/>
    <x v="2"/>
    <n v="3134.62"/>
    <n v="2"/>
    <n v="491.45"/>
    <n v="0.1"/>
    <n v="0.15678136424829803"/>
    <n v="2714.5652525252526"/>
    <x v="2"/>
    <x v="2"/>
    <x v="29"/>
  </r>
  <r>
    <s v="ORD0053"/>
    <x v="47"/>
    <s v="CUST043"/>
    <x v="4"/>
    <n v="2041.88"/>
    <n v="5"/>
    <n v="85.4"/>
    <n v="0.2"/>
    <n v="4.1824201226320842E-2"/>
    <n v="2710.2789795918366"/>
    <x v="3"/>
    <x v="0"/>
    <x v="34"/>
  </r>
  <r>
    <s v="ORD0054"/>
    <x v="48"/>
    <s v="CUST036"/>
    <x v="1"/>
    <n v="3402.72"/>
    <n v="3"/>
    <n v="518.15"/>
    <n v="0.2"/>
    <n v="0.15227523863262332"/>
    <n v="2717.1696907216492"/>
    <x v="3"/>
    <x v="2"/>
    <x v="35"/>
  </r>
  <r>
    <s v="ORD0055"/>
    <x v="49"/>
    <s v="CUST042"/>
    <x v="2"/>
    <n v="1554.18"/>
    <n v="4"/>
    <n v="336.39"/>
    <n v="0.15"/>
    <n v="0.21644211095239932"/>
    <n v="2710.0285416666666"/>
    <x v="2"/>
    <x v="2"/>
    <x v="36"/>
  </r>
  <r>
    <s v="ORD0056"/>
    <x v="50"/>
    <s v="CUST043"/>
    <x v="1"/>
    <n v="2351.69"/>
    <n v="8"/>
    <n v="394.6"/>
    <n v="0.05"/>
    <n v="0.16779422457891985"/>
    <n v="2722.1953684210521"/>
    <x v="3"/>
    <x v="0"/>
    <x v="34"/>
  </r>
  <r>
    <s v="ORD0057"/>
    <x v="51"/>
    <s v="CUST044"/>
    <x v="2"/>
    <n v="1454.74"/>
    <n v="10"/>
    <n v="77.61"/>
    <n v="0.1"/>
    <n v="5.3349739472345573E-2"/>
    <n v="2726.1369148936164"/>
    <x v="2"/>
    <x v="0"/>
    <x v="14"/>
  </r>
  <r>
    <s v="ORD0058"/>
    <x v="52"/>
    <s v="CUST031"/>
    <x v="0"/>
    <n v="1161.97"/>
    <n v="4"/>
    <n v="53.57"/>
    <n v="0.05"/>
    <n v="4.6102739313407401E-2"/>
    <n v="2739.8078494623655"/>
    <x v="0"/>
    <x v="1"/>
    <x v="20"/>
  </r>
  <r>
    <s v="ORD0059"/>
    <x v="53"/>
    <s v="CUST037"/>
    <x v="3"/>
    <n v="4256.2"/>
    <n v="2"/>
    <n v="526.11"/>
    <n v="0.15"/>
    <n v="0.12361026267562615"/>
    <n v="2756.958260869565"/>
    <x v="0"/>
    <x v="2"/>
    <x v="22"/>
  </r>
  <r>
    <s v="ORD0060"/>
    <x v="54"/>
    <s v="CUST042"/>
    <x v="1"/>
    <n v="3605.81"/>
    <n v="7"/>
    <n v="432.38"/>
    <n v="0.15"/>
    <n v="0.11991203086130439"/>
    <n v="2740.4830769230766"/>
    <x v="2"/>
    <x v="2"/>
    <x v="36"/>
  </r>
  <r>
    <s v="ORD0061"/>
    <x v="20"/>
    <s v="CUST034"/>
    <x v="4"/>
    <n v="4468.67"/>
    <n v="2"/>
    <n v="333.86"/>
    <n v="0.15"/>
    <n v="7.471126755835629E-2"/>
    <n v="2730.8683333333329"/>
    <x v="3"/>
    <x v="1"/>
    <x v="24"/>
  </r>
  <r>
    <s v="ORD0062"/>
    <x v="55"/>
    <s v="CUST043"/>
    <x v="0"/>
    <n v="298.58"/>
    <n v="4"/>
    <n v="49"/>
    <n v="0"/>
    <n v="0.16411012124053856"/>
    <n v="2711.3424719101113"/>
    <x v="3"/>
    <x v="0"/>
    <x v="34"/>
  </r>
  <r>
    <s v="ORD0063"/>
    <x v="56"/>
    <s v="CUST040"/>
    <x v="0"/>
    <n v="4940.07"/>
    <n v="10"/>
    <n v="1321.52"/>
    <n v="0.1"/>
    <n v="0.26751037940757927"/>
    <n v="2738.7602272727268"/>
    <x v="1"/>
    <x v="1"/>
    <x v="28"/>
  </r>
  <r>
    <s v="ORD0064"/>
    <x v="57"/>
    <s v="CUST029"/>
    <x v="2"/>
    <n v="2162.37"/>
    <n v="9"/>
    <n v="528.27"/>
    <n v="0.15"/>
    <n v="0.24430139152873931"/>
    <n v="2713.4578160919532"/>
    <x v="2"/>
    <x v="1"/>
    <x v="16"/>
  </r>
  <r>
    <s v="ORD0065"/>
    <x v="58"/>
    <s v="CUST018"/>
    <x v="4"/>
    <n v="3771.3"/>
    <n v="5"/>
    <n v="494.6"/>
    <n v="0.2"/>
    <n v="0.13114841036247449"/>
    <n v="2719.8658139534873"/>
    <x v="0"/>
    <x v="0"/>
    <x v="30"/>
  </r>
  <r>
    <s v="ORD0066"/>
    <x v="59"/>
    <s v="CUST035"/>
    <x v="1"/>
    <n v="433.54"/>
    <n v="5"/>
    <n v="46.79"/>
    <n v="0.05"/>
    <n v="0.10792545093878303"/>
    <n v="2707.4959999999992"/>
    <x v="2"/>
    <x v="2"/>
    <x v="15"/>
  </r>
  <r>
    <s v="ORD0067"/>
    <x v="60"/>
    <s v="CUST014"/>
    <x v="1"/>
    <n v="734.95"/>
    <n v="4"/>
    <n v="142.19999999999999"/>
    <n v="0.15"/>
    <n v="0.19348254983332197"/>
    <n v="2734.5669047619035"/>
    <x v="2"/>
    <x v="2"/>
    <x v="37"/>
  </r>
  <r>
    <s v="ORD0068"/>
    <x v="61"/>
    <s v="CUST014"/>
    <x v="4"/>
    <n v="2103.6"/>
    <n v="6"/>
    <n v="266.07"/>
    <n v="0.2"/>
    <n v="0.12648317170564746"/>
    <n v="2758.6586746987941"/>
    <x v="2"/>
    <x v="2"/>
    <x v="37"/>
  </r>
  <r>
    <s v="ORD0069"/>
    <x v="62"/>
    <s v="CUST025"/>
    <x v="4"/>
    <n v="1977.91"/>
    <n v="10"/>
    <n v="522.53"/>
    <n v="0"/>
    <n v="0.26418290013195744"/>
    <n v="2766.6471951219501"/>
    <x v="3"/>
    <x v="2"/>
    <x v="18"/>
  </r>
  <r>
    <s v="ORD0070"/>
    <x v="63"/>
    <s v="CUST035"/>
    <x v="0"/>
    <n v="79.19"/>
    <n v="6"/>
    <n v="17.29"/>
    <n v="0.1"/>
    <n v="0.21833564844045966"/>
    <n v="2776.3846913580237"/>
    <x v="2"/>
    <x v="2"/>
    <x v="15"/>
  </r>
  <r>
    <s v="ORD0071"/>
    <x v="45"/>
    <s v="CUST032"/>
    <x v="1"/>
    <n v="4009.35"/>
    <n v="4"/>
    <n v="300.12"/>
    <n v="0.15"/>
    <n v="7.4855026375846456E-2"/>
    <n v="2810.0996249999989"/>
    <x v="3"/>
    <x v="1"/>
    <x v="38"/>
  </r>
  <r>
    <s v="ORD0072"/>
    <x v="64"/>
    <s v="CUST040"/>
    <x v="0"/>
    <n v="1974.84"/>
    <n v="7"/>
    <n v="493.96"/>
    <n v="0.05"/>
    <n v="0.25012659253407871"/>
    <n v="2794.9192405063282"/>
    <x v="1"/>
    <x v="1"/>
    <x v="28"/>
  </r>
  <r>
    <s v="ORD0073"/>
    <x v="65"/>
    <s v="CUST006"/>
    <x v="4"/>
    <n v="183.48"/>
    <n v="7"/>
    <n v="27.72"/>
    <n v="0.2"/>
    <n v="0.15107913669064749"/>
    <n v="2805.433076923076"/>
    <x v="1"/>
    <x v="0"/>
    <x v="21"/>
  </r>
  <r>
    <s v="ORD0074"/>
    <x v="66"/>
    <s v="CUST021"/>
    <x v="3"/>
    <n v="721.71"/>
    <n v="8"/>
    <n v="37.94"/>
    <n v="0.05"/>
    <n v="5.2569591664241862E-2"/>
    <n v="2839.4844155844148"/>
    <x v="3"/>
    <x v="0"/>
    <x v="39"/>
  </r>
  <r>
    <s v="ORD0075"/>
    <x v="47"/>
    <s v="CUST017"/>
    <x v="1"/>
    <n v="2300.7600000000002"/>
    <n v="6"/>
    <n v="206.07"/>
    <n v="0.15"/>
    <n v="8.9566056433526303E-2"/>
    <n v="2867.3498684210517"/>
    <x v="2"/>
    <x v="1"/>
    <x v="8"/>
  </r>
  <r>
    <s v="ORD0076"/>
    <x v="67"/>
    <s v="CUST015"/>
    <x v="1"/>
    <n v="2378.02"/>
    <n v="9"/>
    <n v="713.35"/>
    <n v="0"/>
    <n v="0.29997645099704795"/>
    <n v="2874.904399999999"/>
    <x v="1"/>
    <x v="1"/>
    <x v="31"/>
  </r>
  <r>
    <s v="ORD0077"/>
    <x v="68"/>
    <s v="CUST002"/>
    <x v="0"/>
    <n v="3917.1"/>
    <n v="1"/>
    <n v="1125.79"/>
    <n v="0"/>
    <n v="0.28740394679737563"/>
    <n v="2881.6190540540533"/>
    <x v="3"/>
    <x v="0"/>
    <x v="40"/>
  </r>
  <r>
    <s v="ORD0078"/>
    <x v="69"/>
    <s v="CUST014"/>
    <x v="4"/>
    <n v="804.29"/>
    <n v="3"/>
    <n v="150.69999999999999"/>
    <n v="0.15"/>
    <n v="0.18737022715687127"/>
    <n v="2867.4343835616428"/>
    <x v="2"/>
    <x v="2"/>
    <x v="37"/>
  </r>
  <r>
    <s v="ORD0079"/>
    <x v="70"/>
    <s v="CUST050"/>
    <x v="3"/>
    <n v="3512.35"/>
    <n v="6"/>
    <n v="672.52"/>
    <n v="0.05"/>
    <n v="0.19147294546386323"/>
    <n v="2896.0891666666662"/>
    <x v="1"/>
    <x v="0"/>
    <x v="32"/>
  </r>
  <r>
    <s v="ORD0080"/>
    <x v="71"/>
    <s v="CUST037"/>
    <x v="4"/>
    <n v="4825.37"/>
    <n v="2"/>
    <n v="79.23"/>
    <n v="0.2"/>
    <n v="1.6419466279269778E-2"/>
    <n v="2887.4094366197178"/>
    <x v="0"/>
    <x v="2"/>
    <x v="22"/>
  </r>
  <r>
    <s v="ORD0081"/>
    <x v="72"/>
    <s v="CUST016"/>
    <x v="1"/>
    <n v="2013.44"/>
    <n v="4"/>
    <n v="398.71"/>
    <n v="0"/>
    <n v="0.19802427685950411"/>
    <n v="2859.7242857142851"/>
    <x v="3"/>
    <x v="0"/>
    <x v="6"/>
  </r>
  <r>
    <s v="ORD0082"/>
    <x v="73"/>
    <s v="CUST003"/>
    <x v="2"/>
    <n v="3501.11"/>
    <n v="5"/>
    <n v="740.07"/>
    <n v="0.2"/>
    <n v="0.21138153328515813"/>
    <n v="2871.989275362318"/>
    <x v="2"/>
    <x v="0"/>
    <x v="33"/>
  </r>
  <r>
    <s v="ORD0083"/>
    <x v="4"/>
    <s v="CUST001"/>
    <x v="4"/>
    <n v="2687.09"/>
    <n v="6"/>
    <n v="474.25"/>
    <n v="0"/>
    <n v="0.17649204157657539"/>
    <n v="2862.7374999999993"/>
    <x v="0"/>
    <x v="0"/>
    <x v="3"/>
  </r>
  <r>
    <s v="ORD0084"/>
    <x v="74"/>
    <s v="CUST030"/>
    <x v="3"/>
    <n v="4120.54"/>
    <n v="2"/>
    <n v="1072.1500000000001"/>
    <n v="0.15"/>
    <n v="0.26019647910225363"/>
    <n v="2865.3591044776113"/>
    <x v="0"/>
    <x v="0"/>
    <x v="41"/>
  </r>
  <r>
    <s v="ORD0085"/>
    <x v="75"/>
    <s v="CUST050"/>
    <x v="4"/>
    <n v="2205.66"/>
    <n v="9"/>
    <n v="405.79"/>
    <n v="0.1"/>
    <n v="0.18397667818249416"/>
    <n v="2846.3412121212114"/>
    <x v="1"/>
    <x v="0"/>
    <x v="32"/>
  </r>
  <r>
    <s v="ORD0086"/>
    <x v="52"/>
    <s v="CUST006"/>
    <x v="2"/>
    <n v="2351.13"/>
    <n v="10"/>
    <n v="259.98"/>
    <n v="0.1"/>
    <n v="0.11057661635043575"/>
    <n v="2856.1978461538461"/>
    <x v="1"/>
    <x v="0"/>
    <x v="21"/>
  </r>
  <r>
    <s v="ORD0087"/>
    <x v="76"/>
    <s v="CUST025"/>
    <x v="2"/>
    <n v="4414.07"/>
    <n v="4"/>
    <n v="717.12"/>
    <n v="0.15"/>
    <n v="0.16246230802864478"/>
    <n v="2864.0895312500002"/>
    <x v="3"/>
    <x v="2"/>
    <x v="18"/>
  </r>
  <r>
    <s v="ORD0088"/>
    <x v="77"/>
    <s v="CUST017"/>
    <x v="2"/>
    <n v="192.06"/>
    <n v="6"/>
    <n v="31.09"/>
    <n v="0.05"/>
    <n v="0.16187649692804332"/>
    <n v="2839.4866666666667"/>
    <x v="2"/>
    <x v="1"/>
    <x v="8"/>
  </r>
  <r>
    <s v="ORD0089"/>
    <x v="78"/>
    <s v="CUST013"/>
    <x v="1"/>
    <n v="1434.31"/>
    <n v="10"/>
    <n v="242.32"/>
    <n v="0.1"/>
    <n v="0.16894534654293702"/>
    <n v="2882.1870967741938"/>
    <x v="3"/>
    <x v="0"/>
    <x v="9"/>
  </r>
  <r>
    <s v="ORD0090"/>
    <x v="79"/>
    <s v="CUST045"/>
    <x v="4"/>
    <n v="1244.71"/>
    <n v="7"/>
    <n v="197.65"/>
    <n v="0.15"/>
    <n v="0.15879200777691188"/>
    <n v="2905.9227868852458"/>
    <x v="3"/>
    <x v="1"/>
    <x v="42"/>
  </r>
  <r>
    <s v="ORD0091"/>
    <x v="80"/>
    <s v="CUST019"/>
    <x v="3"/>
    <n v="3247.22"/>
    <n v="8"/>
    <n v="708.65"/>
    <n v="0.15"/>
    <n v="0.21823282684881223"/>
    <n v="2933.6096666666667"/>
    <x v="1"/>
    <x v="0"/>
    <x v="23"/>
  </r>
  <r>
    <s v="ORD0092"/>
    <x v="81"/>
    <s v="CUST031"/>
    <x v="0"/>
    <n v="2051.79"/>
    <n v="4"/>
    <n v="402.13"/>
    <n v="0.1"/>
    <n v="0.19598984301512337"/>
    <n v="2928.2942372881357"/>
    <x v="0"/>
    <x v="1"/>
    <x v="20"/>
  </r>
  <r>
    <s v="ORD0093"/>
    <x v="82"/>
    <s v="CUST030"/>
    <x v="2"/>
    <n v="2678.06"/>
    <n v="7"/>
    <n v="248.25"/>
    <n v="0.2"/>
    <n v="9.2697699080677806E-2"/>
    <n v="2943.4063793103451"/>
    <x v="0"/>
    <x v="0"/>
    <x v="41"/>
  </r>
  <r>
    <s v="ORD0094"/>
    <x v="83"/>
    <s v="CUST008"/>
    <x v="0"/>
    <n v="1567.78"/>
    <n v="4"/>
    <n v="361.09"/>
    <n v="0"/>
    <n v="0.23031930500452868"/>
    <n v="2948.0615789473682"/>
    <x v="2"/>
    <x v="0"/>
    <x v="4"/>
  </r>
  <r>
    <s v="ORD0095"/>
    <x v="84"/>
    <s v="CUST018"/>
    <x v="0"/>
    <n v="4756.84"/>
    <n v="3"/>
    <n v="447.6"/>
    <n v="0.05"/>
    <n v="9.4096080591316925E-2"/>
    <n v="2972.7094642857141"/>
    <x v="0"/>
    <x v="0"/>
    <x v="30"/>
  </r>
  <r>
    <s v="ORD0096"/>
    <x v="85"/>
    <s v="CUST013"/>
    <x v="2"/>
    <n v="4884.2"/>
    <n v="9"/>
    <n v="394.4"/>
    <n v="0.2"/>
    <n v="8.0750174030547475E-2"/>
    <n v="2940.2707272727271"/>
    <x v="3"/>
    <x v="0"/>
    <x v="9"/>
  </r>
  <r>
    <s v="ORD0097"/>
    <x v="86"/>
    <s v="CUST009"/>
    <x v="2"/>
    <n v="1176.04"/>
    <n v="3"/>
    <n v="39.44"/>
    <n v="0.1"/>
    <n v="3.3536274276385156E-2"/>
    <n v="2904.2720370370366"/>
    <x v="0"/>
    <x v="2"/>
    <x v="25"/>
  </r>
  <r>
    <s v="ORD0098"/>
    <x v="87"/>
    <s v="CUST041"/>
    <x v="4"/>
    <n v="275.3"/>
    <n v="1"/>
    <n v="22.86"/>
    <n v="0.2"/>
    <n v="8.3036687250272426E-2"/>
    <n v="2936.8801886792448"/>
    <x v="3"/>
    <x v="2"/>
    <x v="26"/>
  </r>
  <r>
    <s v="ORD0099"/>
    <x v="88"/>
    <s v="CUST029"/>
    <x v="2"/>
    <n v="557.80999999999995"/>
    <n v="1"/>
    <n v="45.23"/>
    <n v="0.2"/>
    <n v="8.1084957243505854E-2"/>
    <n v="2988.0644230769226"/>
    <x v="2"/>
    <x v="1"/>
    <x v="16"/>
  </r>
  <r>
    <s v="ORD0100"/>
    <x v="89"/>
    <s v="CUST008"/>
    <x v="1"/>
    <n v="962.6"/>
    <n v="1"/>
    <n v="255.34"/>
    <n v="0.1"/>
    <n v="0.26526075212964889"/>
    <n v="3035.7164705882351"/>
    <x v="2"/>
    <x v="0"/>
    <x v="4"/>
  </r>
  <r>
    <s v="ORD0101"/>
    <x v="17"/>
    <s v="CUST010"/>
    <x v="3"/>
    <n v="2033.5"/>
    <n v="2"/>
    <n v="340.33"/>
    <n v="0.2"/>
    <n v="0.16736169166461765"/>
    <n v="3077.1787999999997"/>
    <x v="2"/>
    <x v="2"/>
    <x v="43"/>
  </r>
  <r>
    <s v="ORD0102"/>
    <x v="90"/>
    <s v="CUST036"/>
    <x v="4"/>
    <n v="4065.15"/>
    <n v="5"/>
    <n v="1213.3599999999999"/>
    <n v="0"/>
    <n v="0.29847853092751803"/>
    <n v="3098.4783673469383"/>
    <x v="3"/>
    <x v="2"/>
    <x v="35"/>
  </r>
  <r>
    <s v="ORD0103"/>
    <x v="66"/>
    <s v="CUST029"/>
    <x v="4"/>
    <n v="3051.27"/>
    <n v="10"/>
    <n v="713.76"/>
    <n v="0.05"/>
    <n v="0.23392226843248876"/>
    <n v="3078.3393749999996"/>
    <x v="2"/>
    <x v="1"/>
    <x v="16"/>
  </r>
  <r>
    <s v="ORD0104"/>
    <x v="91"/>
    <s v="CUST004"/>
    <x v="0"/>
    <n v="1521.9"/>
    <n v="10"/>
    <n v="146.63"/>
    <n v="0.15"/>
    <n v="9.6346671923253815E-2"/>
    <n v="3078.9153191489354"/>
    <x v="0"/>
    <x v="2"/>
    <x v="19"/>
  </r>
  <r>
    <s v="ORD0105"/>
    <x v="43"/>
    <s v="CUST043"/>
    <x v="1"/>
    <n v="4802.54"/>
    <n v="2"/>
    <n v="943.12"/>
    <n v="0.05"/>
    <n v="0.19637941589242358"/>
    <n v="3112.7634782608693"/>
    <x v="3"/>
    <x v="0"/>
    <x v="34"/>
  </r>
  <r>
    <s v="ORD0106"/>
    <x v="92"/>
    <s v="CUST027"/>
    <x v="4"/>
    <n v="827.43"/>
    <n v="3"/>
    <n v="23.8"/>
    <n v="0.2"/>
    <n v="2.8763762493503986E-2"/>
    <n v="3075.2128888888892"/>
    <x v="2"/>
    <x v="2"/>
    <x v="29"/>
  </r>
  <r>
    <s v="ORD0107"/>
    <x v="93"/>
    <s v="CUST046"/>
    <x v="2"/>
    <n v="3462.39"/>
    <n v="8"/>
    <n v="132.12"/>
    <n v="0.1"/>
    <n v="3.8158612981206624E-2"/>
    <n v="3126.2988636363634"/>
    <x v="3"/>
    <x v="0"/>
    <x v="44"/>
  </r>
  <r>
    <s v="ORD0108"/>
    <x v="43"/>
    <s v="CUST041"/>
    <x v="0"/>
    <n v="3529.79"/>
    <n v="8"/>
    <n v="783.07"/>
    <n v="0"/>
    <n v="0.22184605883069533"/>
    <n v="3118.4827906976752"/>
    <x v="3"/>
    <x v="2"/>
    <x v="26"/>
  </r>
  <r>
    <s v="ORD0109"/>
    <x v="94"/>
    <s v="CUST042"/>
    <x v="3"/>
    <n v="3322.86"/>
    <n v="4"/>
    <n v="161.80000000000001"/>
    <n v="0.15"/>
    <n v="4.8692993385216349E-2"/>
    <n v="3108.6897619047622"/>
    <x v="2"/>
    <x v="2"/>
    <x v="36"/>
  </r>
  <r>
    <s v="ORD0110"/>
    <x v="8"/>
    <s v="CUST039"/>
    <x v="0"/>
    <n v="4546.6400000000003"/>
    <n v="3"/>
    <n v="295.12"/>
    <n v="0"/>
    <n v="6.4909471609804162E-2"/>
    <n v="3103.4660975609754"/>
    <x v="2"/>
    <x v="0"/>
    <x v="2"/>
  </r>
  <r>
    <s v="ORD0111"/>
    <x v="95"/>
    <s v="CUST045"/>
    <x v="4"/>
    <n v="4609.8999999999996"/>
    <n v="8"/>
    <n v="770.66"/>
    <n v="0"/>
    <n v="0.16717499294995553"/>
    <n v="3067.3867500000001"/>
    <x v="3"/>
    <x v="1"/>
    <x v="42"/>
  </r>
  <r>
    <s v="ORD0112"/>
    <x v="96"/>
    <s v="CUST039"/>
    <x v="1"/>
    <n v="4716.25"/>
    <n v="9"/>
    <n v="629.38"/>
    <n v="0.2"/>
    <n v="0.1334492446329181"/>
    <n v="3027.8351282051285"/>
    <x v="2"/>
    <x v="0"/>
    <x v="2"/>
  </r>
  <r>
    <s v="ORD0113"/>
    <x v="1"/>
    <s v="CUST015"/>
    <x v="0"/>
    <n v="4452.6400000000003"/>
    <n v="6"/>
    <n v="323.23"/>
    <n v="0.2"/>
    <n v="7.259288871321283E-2"/>
    <n v="2983.403157894737"/>
    <x v="1"/>
    <x v="1"/>
    <x v="31"/>
  </r>
  <r>
    <s v="ORD0114"/>
    <x v="97"/>
    <s v="CUST031"/>
    <x v="0"/>
    <n v="2956.26"/>
    <n v="1"/>
    <n v="514.57000000000005"/>
    <n v="0.1"/>
    <n v="0.17406114482488008"/>
    <n v="2943.694054054054"/>
    <x v="0"/>
    <x v="1"/>
    <x v="20"/>
  </r>
  <r>
    <s v="ORD0115"/>
    <x v="45"/>
    <s v="CUST041"/>
    <x v="4"/>
    <n v="3274.97"/>
    <n v="5"/>
    <n v="947.24"/>
    <n v="0.05"/>
    <n v="0.28923623727850944"/>
    <n v="2943.3450000000003"/>
    <x v="3"/>
    <x v="2"/>
    <x v="26"/>
  </r>
  <r>
    <s v="ORD0116"/>
    <x v="98"/>
    <s v="CUST043"/>
    <x v="1"/>
    <n v="4846.82"/>
    <n v="8"/>
    <n v="640.20000000000005"/>
    <n v="0.1"/>
    <n v="0.13208660523807364"/>
    <n v="2933.8699999999994"/>
    <x v="3"/>
    <x v="0"/>
    <x v="34"/>
  </r>
  <r>
    <s v="ORD0117"/>
    <x v="93"/>
    <s v="CUST043"/>
    <x v="4"/>
    <n v="4295.78"/>
    <n v="6"/>
    <n v="830.88"/>
    <n v="0.15"/>
    <n v="0.19341772623365258"/>
    <n v="2877.6067647058821"/>
    <x v="3"/>
    <x v="0"/>
    <x v="34"/>
  </r>
  <r>
    <s v="ORD0118"/>
    <x v="83"/>
    <s v="CUST017"/>
    <x v="2"/>
    <n v="4077.15"/>
    <n v="9"/>
    <n v="667.46"/>
    <n v="0"/>
    <n v="0.16370749175281754"/>
    <n v="2834.6318181818183"/>
    <x v="2"/>
    <x v="1"/>
    <x v="8"/>
  </r>
  <r>
    <s v="ORD0119"/>
    <x v="99"/>
    <s v="CUST043"/>
    <x v="0"/>
    <n v="623.80999999999995"/>
    <n v="7"/>
    <n v="134.88999999999999"/>
    <n v="0.2"/>
    <n v="0.2162357127971658"/>
    <n v="2795.8031249999999"/>
    <x v="3"/>
    <x v="0"/>
    <x v="34"/>
  </r>
  <r>
    <s v="ORD0120"/>
    <x v="100"/>
    <s v="CUST049"/>
    <x v="4"/>
    <n v="2336.7800000000002"/>
    <n v="1"/>
    <n v="396.34"/>
    <n v="0.05"/>
    <n v="0.16960946259382567"/>
    <n v="2865.8674193548386"/>
    <x v="1"/>
    <x v="1"/>
    <x v="1"/>
  </r>
  <r>
    <s v="ORD0121"/>
    <x v="15"/>
    <s v="CUST019"/>
    <x v="4"/>
    <n v="3145.77"/>
    <n v="1"/>
    <n v="335.86"/>
    <n v="0.05"/>
    <n v="0.10676559316161068"/>
    <n v="2883.503666666667"/>
    <x v="1"/>
    <x v="0"/>
    <x v="23"/>
  </r>
  <r>
    <s v="ORD0122"/>
    <x v="53"/>
    <s v="CUST039"/>
    <x v="3"/>
    <n v="4410.1899999999996"/>
    <n v="8"/>
    <n v="252.34"/>
    <n v="0"/>
    <n v="5.7217489495917415E-2"/>
    <n v="2874.4600000000005"/>
    <x v="2"/>
    <x v="0"/>
    <x v="2"/>
  </r>
  <r>
    <s v="ORD0123"/>
    <x v="36"/>
    <s v="CUST006"/>
    <x v="3"/>
    <n v="3563.42"/>
    <n v="5"/>
    <n v="47.82"/>
    <n v="0.2"/>
    <n v="1.3419692318054004E-2"/>
    <n v="2819.6125000000002"/>
    <x v="1"/>
    <x v="0"/>
    <x v="21"/>
  </r>
  <r>
    <s v="ORD0124"/>
    <x v="101"/>
    <s v="CUST010"/>
    <x v="4"/>
    <n v="4961.67"/>
    <n v="2"/>
    <n v="1273.98"/>
    <n v="0.15"/>
    <n v="0.25676435554964355"/>
    <n v="2792.0640740740746"/>
    <x v="2"/>
    <x v="2"/>
    <x v="43"/>
  </r>
  <r>
    <s v="ORD0125"/>
    <x v="102"/>
    <s v="CUST031"/>
    <x v="4"/>
    <n v="4666.63"/>
    <n v="5"/>
    <n v="869.64"/>
    <n v="0.2"/>
    <n v="0.18635289277272893"/>
    <n v="2708.6176923076923"/>
    <x v="0"/>
    <x v="1"/>
    <x v="20"/>
  </r>
  <r>
    <s v="ORD0126"/>
    <x v="103"/>
    <s v="CUST033"/>
    <x v="3"/>
    <n v="1256.47"/>
    <n v="9"/>
    <n v="170.75"/>
    <n v="0.05"/>
    <n v="0.13589659920252772"/>
    <n v="2630.2972000000004"/>
    <x v="3"/>
    <x v="0"/>
    <x v="5"/>
  </r>
  <r>
    <s v="ORD0127"/>
    <x v="6"/>
    <s v="CUST018"/>
    <x v="1"/>
    <n v="4326.93"/>
    <n v="5"/>
    <n v="454.19"/>
    <n v="0.15"/>
    <n v="0.10496818760645538"/>
    <n v="2687.5400000000004"/>
    <x v="0"/>
    <x v="0"/>
    <x v="30"/>
  </r>
  <r>
    <s v="ORD0128"/>
    <x v="104"/>
    <s v="CUST032"/>
    <x v="3"/>
    <n v="1450.05"/>
    <n v="5"/>
    <n v="224.73"/>
    <n v="0.2"/>
    <n v="0.1549808627288714"/>
    <n v="2616.2621739130436"/>
    <x v="3"/>
    <x v="1"/>
    <x v="38"/>
  </r>
  <r>
    <s v="ORD0129"/>
    <x v="105"/>
    <s v="CUST025"/>
    <x v="4"/>
    <n v="2260.41"/>
    <n v="8"/>
    <n v="255.67"/>
    <n v="0.1"/>
    <n v="0.11310779902761003"/>
    <n v="2669.2718181818186"/>
    <x v="3"/>
    <x v="2"/>
    <x v="18"/>
  </r>
  <r>
    <s v="ORD0130"/>
    <x v="106"/>
    <s v="CUST050"/>
    <x v="4"/>
    <n v="4667.62"/>
    <n v="4"/>
    <n v="853.94"/>
    <n v="0.05"/>
    <n v="0.18294976883293843"/>
    <n v="2688.741428571429"/>
    <x v="1"/>
    <x v="0"/>
    <x v="32"/>
  </r>
  <r>
    <s v="ORD0131"/>
    <x v="107"/>
    <s v="CUST042"/>
    <x v="3"/>
    <n v="266.05"/>
    <n v="8"/>
    <n v="31"/>
    <n v="0.15"/>
    <n v="0.11651945123097161"/>
    <n v="2589.7974999999997"/>
    <x v="2"/>
    <x v="2"/>
    <x v="36"/>
  </r>
  <r>
    <s v="ORD0132"/>
    <x v="108"/>
    <s v="CUST022"/>
    <x v="1"/>
    <n v="2501.88"/>
    <n v="1"/>
    <n v="414.24"/>
    <n v="0.05"/>
    <n v="0.16557149023934001"/>
    <n v="2712.1"/>
    <x v="1"/>
    <x v="2"/>
    <x v="11"/>
  </r>
  <r>
    <s v="ORD0133"/>
    <x v="109"/>
    <s v="CUST001"/>
    <x v="3"/>
    <n v="4377.24"/>
    <n v="8"/>
    <n v="794.42"/>
    <n v="0"/>
    <n v="0.1814887920241979"/>
    <n v="2723.7788888888886"/>
    <x v="0"/>
    <x v="0"/>
    <x v="3"/>
  </r>
  <r>
    <s v="ORD0134"/>
    <x v="43"/>
    <s v="CUST022"/>
    <x v="0"/>
    <n v="2079.39"/>
    <n v="3"/>
    <n v="348.03"/>
    <n v="0"/>
    <n v="0.16737120020775323"/>
    <n v="2626.5164705882353"/>
    <x v="1"/>
    <x v="2"/>
    <x v="11"/>
  </r>
  <r>
    <s v="ORD0135"/>
    <x v="86"/>
    <s v="CUST025"/>
    <x v="2"/>
    <n v="3478.89"/>
    <n v="2"/>
    <n v="845.67"/>
    <n v="0.1"/>
    <n v="0.24308615679139037"/>
    <n v="2660.711875"/>
    <x v="3"/>
    <x v="2"/>
    <x v="18"/>
  </r>
  <r>
    <s v="ORD0136"/>
    <x v="41"/>
    <s v="CUST016"/>
    <x v="2"/>
    <n v="3152.66"/>
    <n v="8"/>
    <n v="59.82"/>
    <n v="0.2"/>
    <n v="1.8974453318784772E-2"/>
    <n v="2606.1666666666661"/>
    <x v="3"/>
    <x v="0"/>
    <x v="6"/>
  </r>
  <r>
    <s v="ORD0137"/>
    <x v="110"/>
    <s v="CUST046"/>
    <x v="1"/>
    <n v="4987.26"/>
    <n v="2"/>
    <n v="1319.55"/>
    <n v="0.15"/>
    <n v="0.26458416044080313"/>
    <n v="2567.1314285714284"/>
    <x v="3"/>
    <x v="0"/>
    <x v="44"/>
  </r>
  <r>
    <s v="ORD0138"/>
    <x v="111"/>
    <s v="CUST019"/>
    <x v="2"/>
    <n v="2246.21"/>
    <n v="5"/>
    <n v="138.13999999999999"/>
    <n v="0"/>
    <n v="6.1499147452820521E-2"/>
    <n v="2380.9676923076922"/>
    <x v="1"/>
    <x v="0"/>
    <x v="23"/>
  </r>
  <r>
    <s v="ORD0139"/>
    <x v="73"/>
    <s v="CUST044"/>
    <x v="3"/>
    <n v="1905.46"/>
    <n v="3"/>
    <n v="329.25"/>
    <n v="0.05"/>
    <n v="0.17279292139430899"/>
    <n v="2392.1975000000002"/>
    <x v="2"/>
    <x v="0"/>
    <x v="14"/>
  </r>
  <r>
    <s v="ORD0140"/>
    <x v="91"/>
    <s v="CUST044"/>
    <x v="3"/>
    <n v="891.42"/>
    <n v="2"/>
    <n v="202.99"/>
    <n v="0.2"/>
    <n v="0.22771533059612756"/>
    <n v="2436.4463636363639"/>
    <x v="2"/>
    <x v="0"/>
    <x v="14"/>
  </r>
  <r>
    <s v="ORD0141"/>
    <x v="112"/>
    <s v="CUST017"/>
    <x v="4"/>
    <n v="2513.4499999999998"/>
    <n v="10"/>
    <n v="246.44"/>
    <n v="0.05"/>
    <n v="9.8048499074976633E-2"/>
    <n v="2590.9489999999996"/>
    <x v="2"/>
    <x v="1"/>
    <x v="8"/>
  </r>
  <r>
    <s v="ORD0142"/>
    <x v="113"/>
    <s v="CUST035"/>
    <x v="3"/>
    <n v="1313.87"/>
    <n v="1"/>
    <n v="322.3"/>
    <n v="0.15"/>
    <n v="0.24530585217715606"/>
    <n v="2599.56"/>
    <x v="2"/>
    <x v="2"/>
    <x v="15"/>
  </r>
  <r>
    <s v="ORD0143"/>
    <x v="114"/>
    <s v="CUST045"/>
    <x v="2"/>
    <n v="415.62"/>
    <n v="6"/>
    <n v="35.24"/>
    <n v="0.2"/>
    <n v="8.4788989942736162E-2"/>
    <n v="2760.2712499999998"/>
    <x v="3"/>
    <x v="1"/>
    <x v="42"/>
  </r>
  <r>
    <s v="ORD0144"/>
    <x v="84"/>
    <s v="CUST007"/>
    <x v="3"/>
    <n v="2311.34"/>
    <n v="5"/>
    <n v="669.93"/>
    <n v="0.05"/>
    <n v="0.28984485190409021"/>
    <n v="3095.221428571429"/>
    <x v="0"/>
    <x v="0"/>
    <x v="13"/>
  </r>
  <r>
    <s v="ORD0145"/>
    <x v="115"/>
    <s v="CUST019"/>
    <x v="1"/>
    <n v="1937.75"/>
    <n v="6"/>
    <n v="162.71"/>
    <n v="0.2"/>
    <n v="8.3968520190943113E-2"/>
    <n v="3225.8683333333333"/>
    <x v="1"/>
    <x v="0"/>
    <x v="23"/>
  </r>
  <r>
    <s v="ORD0146"/>
    <x v="116"/>
    <s v="CUST050"/>
    <x v="1"/>
    <n v="4890.83"/>
    <n v="7"/>
    <n v="156.63"/>
    <n v="0.1"/>
    <n v="3.2025239069851129E-2"/>
    <n v="3483.4919999999997"/>
    <x v="1"/>
    <x v="0"/>
    <x v="32"/>
  </r>
  <r>
    <s v="ORD0147"/>
    <x v="13"/>
    <s v="CUST039"/>
    <x v="2"/>
    <n v="4557.55"/>
    <n v="8"/>
    <n v="1020.6"/>
    <n v="0.1"/>
    <n v="0.22393610602187577"/>
    <n v="3131.6575000000003"/>
    <x v="2"/>
    <x v="0"/>
    <x v="2"/>
  </r>
  <r>
    <s v="ORD0148"/>
    <x v="104"/>
    <s v="CUST044"/>
    <x v="3"/>
    <n v="1134.07"/>
    <n v="4"/>
    <n v="82.4"/>
    <n v="0.2"/>
    <n v="7.2658654227693187E-2"/>
    <n v="2656.36"/>
    <x v="2"/>
    <x v="0"/>
    <x v="14"/>
  </r>
  <r>
    <s v="ORD0149"/>
    <x v="117"/>
    <s v="CUST038"/>
    <x v="2"/>
    <n v="3159.83"/>
    <n v="1"/>
    <n v="717.76"/>
    <n v="0.1"/>
    <n v="0.22715146067984671"/>
    <n v="3417.5050000000001"/>
    <x v="2"/>
    <x v="2"/>
    <x v="10"/>
  </r>
  <r>
    <s v="ORD0150"/>
    <x v="102"/>
    <s v="CUST012"/>
    <x v="3"/>
    <n v="3675.18"/>
    <n v="2"/>
    <n v="410.44"/>
    <n v="0.1"/>
    <n v="0.11167888375535348"/>
    <n v="3675.18"/>
    <x v="1"/>
    <x v="2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oduct Category" colHeaderCaption="Region">
  <location ref="C13:G19" firstHeaderRow="1" firstDataRow="2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dataField="1" showAll="0"/>
    <pivotField showAll="0"/>
    <pivotField numFmtId="9"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10"/>
  </colFields>
  <colItems count="4">
    <i>
      <x/>
    </i>
    <i>
      <x v="1"/>
    </i>
    <i>
      <x v="2"/>
    </i>
    <i>
      <x v="3"/>
    </i>
  </colItems>
  <dataFields count="1">
    <dataField name="Total profit" fld="6" baseField="0" baseItem="0"/>
  </dataFields>
  <formats count="25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10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fieldPosition="0">
        <references count="1">
          <reference field="10" count="0"/>
        </references>
      </pivotArea>
    </format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10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fieldPosition="0">
        <references count="1">
          <reference field="10" count="0"/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type="origin" dataOnly="0" labelOnly="1" outline="0" fieldPosition="0"/>
    </format>
    <format dxfId="4">
      <pivotArea field="10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3" type="button" dataOnly="0" labelOnly="1" outline="0" axis="axisRow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ustomer_names">
  <location ref="L4:M14" firstHeaderRow="1" firstDataRow="1" firstDataCol="1"/>
  <pivotFields count="14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showAll="0"/>
    <pivotField showAll="0"/>
    <pivotField axis="axisRow" showAll="0" measureFilter="1" sortType="descending">
      <items count="47">
        <item x="3"/>
        <item x="43"/>
        <item x="17"/>
        <item x="45"/>
        <item x="9"/>
        <item x="37"/>
        <item x="31"/>
        <item x="6"/>
        <item x="8"/>
        <item x="30"/>
        <item x="23"/>
        <item x="40"/>
        <item x="39"/>
        <item x="11"/>
        <item x="27"/>
        <item x="18"/>
        <item x="29"/>
        <item x="0"/>
        <item x="16"/>
        <item x="33"/>
        <item x="41"/>
        <item x="20"/>
        <item x="38"/>
        <item x="5"/>
        <item x="24"/>
        <item x="15"/>
        <item x="35"/>
        <item x="22"/>
        <item x="10"/>
        <item x="2"/>
        <item x="19"/>
        <item x="28"/>
        <item x="26"/>
        <item x="36"/>
        <item x="34"/>
        <item x="14"/>
        <item x="42"/>
        <item x="44"/>
        <item x="12"/>
        <item x="1"/>
        <item x="7"/>
        <item x="32"/>
        <item x="21"/>
        <item x="13"/>
        <item x="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</pivotFields>
  <rowFields count="1">
    <field x="12"/>
  </rowFields>
  <rowItems count="10">
    <i>
      <x v="29"/>
    </i>
    <i>
      <x v="34"/>
    </i>
    <i>
      <x v="41"/>
    </i>
    <i>
      <x/>
    </i>
    <i>
      <x v="6"/>
    </i>
    <i>
      <x v="15"/>
    </i>
    <i>
      <x v="21"/>
    </i>
    <i>
      <x v="9"/>
    </i>
    <i>
      <x v="8"/>
    </i>
    <i>
      <x v="27"/>
    </i>
  </rowItems>
  <colItems count="1">
    <i/>
  </colItems>
  <dataFields count="1">
    <dataField name="Total sales" fld="4" baseField="0" baseItem="0"/>
  </dataFields>
  <formats count="20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2" type="button" dataOnly="0" labelOnly="1" outline="0" axis="axisRow" fieldPosition="0"/>
    </format>
    <format dxfId="41">
      <pivotArea dataOnly="0" labelOnly="1" fieldPosition="0">
        <references count="1">
          <reference field="12" count="10">
            <x v="0"/>
            <x v="6"/>
            <x v="8"/>
            <x v="9"/>
            <x v="15"/>
            <x v="21"/>
            <x v="27"/>
            <x v="29"/>
            <x v="34"/>
            <x v="41"/>
          </reference>
        </references>
      </pivotArea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2" type="button" dataOnly="0" labelOnly="1" outline="0" axis="axisRow" fieldPosition="0"/>
    </format>
    <format dxfId="36">
      <pivotArea dataOnly="0" labelOnly="1" fieldPosition="0">
        <references count="1">
          <reference field="12" count="10">
            <x v="0"/>
            <x v="6"/>
            <x v="8"/>
            <x v="9"/>
            <x v="15"/>
            <x v="21"/>
            <x v="27"/>
            <x v="29"/>
            <x v="34"/>
            <x v="41"/>
          </reference>
        </references>
      </pivotArea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2" type="button" dataOnly="0" labelOnly="1" outline="0" axis="axisRow" fieldPosition="0"/>
    </format>
    <format dxfId="31">
      <pivotArea dataOnly="0" labelOnly="1" fieldPosition="0">
        <references count="1">
          <reference field="12" count="10">
            <x v="0"/>
            <x v="6"/>
            <x v="8"/>
            <x v="9"/>
            <x v="15"/>
            <x v="21"/>
            <x v="27"/>
            <x v="29"/>
            <x v="34"/>
            <x v="41"/>
          </reference>
        </references>
      </pivotArea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2" type="button" dataOnly="0" labelOnly="1" outline="0" axis="axisRow" fieldPosition="0"/>
    </format>
    <format dxfId="26">
      <pivotArea dataOnly="0" labelOnly="1" fieldPosition="0">
        <references count="1">
          <reference field="12" count="10">
            <x v="0"/>
            <x v="6"/>
            <x v="8"/>
            <x v="9"/>
            <x v="15"/>
            <x v="21"/>
            <x v="27"/>
            <x v="29"/>
            <x v="34"/>
            <x v="41"/>
          </reference>
        </references>
      </pivotArea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onths">
  <location ref="I4:J16" firstHeaderRow="1" firstDataRow="1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Total sales" fld="4" baseField="0" baseItem="0"/>
  </dataFields>
  <formats count="20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3" type="button" dataOnly="0" labelOnly="1" outline="0" axis="axisRow" fieldPosition="0"/>
    </format>
    <format dxfId="61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3" type="button" dataOnly="0" labelOnly="1" outline="0" axis="axisRow" fieldPosition="0"/>
    </format>
    <format dxfId="56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3" type="button" dataOnly="0" labelOnly="1" outline="0" axis="axisRow" fieldPosition="0"/>
    </format>
    <format dxfId="51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3" type="button" dataOnly="0" labelOnly="1" outline="0" axis="axisRow" fieldPosition="0"/>
    </format>
    <format dxfId="46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gion" colHeaderCaption="Segment">
  <location ref="C4:F9" firstHeaderRow="1" firstDataRow="2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4">
    <i>
      <x/>
    </i>
    <i>
      <x v="1"/>
    </i>
    <i>
      <x v="2"/>
    </i>
    <i>
      <x v="3"/>
    </i>
  </rowItems>
  <colFields count="1">
    <field x="11"/>
  </colFields>
  <colItems count="3">
    <i>
      <x/>
    </i>
    <i>
      <x v="1"/>
    </i>
    <i>
      <x v="2"/>
    </i>
  </colItems>
  <dataFields count="1">
    <dataField name="Total sales" fld="4" baseField="0" baseItem="0"/>
  </dataFields>
  <formats count="19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11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10" type="button" dataOnly="0" labelOnly="1" outline="0" axis="axisRow" fieldPosition="0"/>
    </format>
    <format dxfId="77">
      <pivotArea dataOnly="0" labelOnly="1" fieldPosition="0">
        <references count="1">
          <reference field="10" count="0"/>
        </references>
      </pivotArea>
    </format>
    <format dxfId="76">
      <pivotArea dataOnly="0" labelOnly="1" fieldPosition="0">
        <references count="1">
          <reference field="11" count="0"/>
        </references>
      </pivotArea>
    </format>
    <format dxfId="75">
      <pivotArea type="all" dataOnly="0" outline="0" fieldPosition="0"/>
    </format>
    <format dxfId="74">
      <pivotArea type="all" dataOnly="0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11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10" type="button" dataOnly="0" labelOnly="1" outline="0" axis="axisRow" fieldPosition="0"/>
    </format>
    <format dxfId="67">
      <pivotArea dataOnly="0" labelOnly="1" fieldPosition="0">
        <references count="1">
          <reference field="10" count="0"/>
        </references>
      </pivotArea>
    </format>
    <format dxfId="66">
      <pivotArea dataOnly="0" labelOnly="1" fieldPosition="0">
        <references count="1">
          <reference field="11" count="0"/>
        </references>
      </pivotArea>
    </format>
    <format dxfId="6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51" totalsRowShown="0">
  <autoFilter ref="A1:M151" xr:uid="{00000000-0009-0000-0100-000001000000}"/>
  <tableColumns count="13">
    <tableColumn id="1" xr3:uid="{00000000-0010-0000-0000-000001000000}" name="order_id"/>
    <tableColumn id="2" xr3:uid="{00000000-0010-0000-0000-000002000000}" name="order_date" dataDxfId="89"/>
    <tableColumn id="3" xr3:uid="{00000000-0010-0000-0000-000003000000}" name="customer_id"/>
    <tableColumn id="4" xr3:uid="{00000000-0010-0000-0000-000004000000}" name="product_category"/>
    <tableColumn id="5" xr3:uid="{00000000-0010-0000-0000-000005000000}" name="sales"/>
    <tableColumn id="6" xr3:uid="{00000000-0010-0000-0000-000006000000}" name="quantity"/>
    <tableColumn id="7" xr3:uid="{00000000-0010-0000-0000-000007000000}" name="profit"/>
    <tableColumn id="8" xr3:uid="{00000000-0010-0000-0000-000008000000}" name="discount"/>
    <tableColumn id="9" xr3:uid="{00000000-0010-0000-0000-000009000000}" name="Profit Margin" dataDxfId="88">
      <calculatedColumnFormula>G2/E2</calculatedColumnFormula>
    </tableColumn>
    <tableColumn id="10" xr3:uid="{00000000-0010-0000-0000-00000A000000}" name="Average Order Value" dataDxfId="87">
      <calculatedColumnFormula>SUM(E2:E151)/COUNTA(A2:A151)</calculatedColumnFormula>
    </tableColumn>
    <tableColumn id="11" xr3:uid="{00000000-0010-0000-0000-00000B000000}" name="region" dataDxfId="86">
      <calculatedColumnFormula>VLOOKUP(C2,Customers!A:D,3,FALSE)</calculatedColumnFormula>
    </tableColumn>
    <tableColumn id="12" xr3:uid="{00000000-0010-0000-0000-00000C000000}" name="segment" dataDxfId="85">
      <calculatedColumnFormula>VLOOKUP(C2,Customers!$A:$D,4,FALSE)</calculatedColumnFormula>
    </tableColumn>
    <tableColumn id="14" xr3:uid="{00000000-0010-0000-0000-00000E000000}" name="customer_name" dataDxfId="84">
      <calculatedColumnFormula>VLOOKUP(C2,Customers!$A:$D,2,FALSE)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D51" totalsRowShown="0">
  <autoFilter ref="A1:D51" xr:uid="{00000000-0009-0000-0100-000003000000}"/>
  <tableColumns count="4">
    <tableColumn id="1" xr3:uid="{00000000-0010-0000-0100-000001000000}" name="customer_id"/>
    <tableColumn id="2" xr3:uid="{00000000-0010-0000-0100-000002000000}" name="customer_name"/>
    <tableColumn id="3" xr3:uid="{00000000-0010-0000-0100-000003000000}" name="region"/>
    <tableColumn id="4" xr3:uid="{00000000-0010-0000-0100-000004000000}" name="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opLeftCell="A2" workbookViewId="0">
      <selection activeCell="M1" sqref="A1:M151"/>
    </sheetView>
  </sheetViews>
  <sheetFormatPr defaultRowHeight="15" x14ac:dyDescent="0.25"/>
  <cols>
    <col min="1" max="1" width="10.7109375" customWidth="1"/>
    <col min="2" max="2" width="13" customWidth="1"/>
    <col min="3" max="3" width="14.140625" customWidth="1"/>
    <col min="4" max="4" width="18.5703125" customWidth="1"/>
    <col min="6" max="6" width="10.5703125" customWidth="1"/>
    <col min="8" max="8" width="10.7109375" customWidth="1"/>
    <col min="9" max="9" width="16" customWidth="1"/>
    <col min="10" max="10" width="23.42578125" customWidth="1"/>
    <col min="11" max="11" width="11" customWidth="1"/>
    <col min="12" max="12" width="13" customWidth="1"/>
    <col min="13" max="13" width="17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209</v>
      </c>
      <c r="J1" t="s">
        <v>210</v>
      </c>
      <c r="K1" t="s">
        <v>212</v>
      </c>
      <c r="L1" t="s">
        <v>213</v>
      </c>
      <c r="M1" t="s">
        <v>211</v>
      </c>
    </row>
    <row r="2" spans="1:13" x14ac:dyDescent="0.25">
      <c r="A2" t="s">
        <v>8</v>
      </c>
      <c r="B2" s="1">
        <v>45957</v>
      </c>
      <c r="C2" t="s">
        <v>9</v>
      </c>
      <c r="D2" t="s">
        <v>10</v>
      </c>
      <c r="E2">
        <v>1361.16</v>
      </c>
      <c r="F2">
        <v>4</v>
      </c>
      <c r="G2">
        <v>197.02</v>
      </c>
      <c r="H2">
        <v>0.2</v>
      </c>
      <c r="I2" s="2">
        <f t="shared" ref="I2:I65" si="0">G2/E2</f>
        <v>0.1447441887801581</v>
      </c>
      <c r="J2">
        <f t="shared" ref="J2:J33" si="1">SUM(E2:E151)/COUNTA(A2:A151)</f>
        <v>2613.2766000000011</v>
      </c>
      <c r="K2" t="str">
        <f>VLOOKUP(C2,Customers!A:D,3,FALSE)</f>
        <v>North</v>
      </c>
      <c r="L2" t="str">
        <f>VLOOKUP(C2,Customers!$A:$D,4,FALSE)</f>
        <v>Consumer</v>
      </c>
      <c r="M2" t="str">
        <f>VLOOKUP(C2,Customers!$A:$D,2,FALSE)</f>
        <v>Customer_28</v>
      </c>
    </row>
    <row r="3" spans="1:13" x14ac:dyDescent="0.25">
      <c r="A3" t="s">
        <v>11</v>
      </c>
      <c r="B3" s="1">
        <v>45704</v>
      </c>
      <c r="C3" t="s">
        <v>12</v>
      </c>
      <c r="D3" t="s">
        <v>13</v>
      </c>
      <c r="E3">
        <v>2027.03</v>
      </c>
      <c r="F3">
        <v>4</v>
      </c>
      <c r="G3">
        <v>339.29</v>
      </c>
      <c r="H3">
        <v>0.05</v>
      </c>
      <c r="I3" s="2">
        <f t="shared" si="0"/>
        <v>0.16738282117186229</v>
      </c>
      <c r="J3">
        <f t="shared" si="1"/>
        <v>2621.6800671140954</v>
      </c>
      <c r="K3" t="str">
        <f>VLOOKUP(C3,Customers!A:D,3,FALSE)</f>
        <v>West</v>
      </c>
      <c r="L3" t="str">
        <f>VLOOKUP(C3,Customers!$A:$D,4,FALSE)</f>
        <v>Corporate</v>
      </c>
      <c r="M3" t="str">
        <f>VLOOKUP(C3,Customers!$A:$D,2,FALSE)</f>
        <v>Customer_49</v>
      </c>
    </row>
    <row r="4" spans="1:13" x14ac:dyDescent="0.25">
      <c r="A4" t="s">
        <v>14</v>
      </c>
      <c r="B4" s="1">
        <v>45874</v>
      </c>
      <c r="C4" t="s">
        <v>15</v>
      </c>
      <c r="D4" t="s">
        <v>13</v>
      </c>
      <c r="E4">
        <v>4312.46</v>
      </c>
      <c r="F4">
        <v>3</v>
      </c>
      <c r="G4">
        <v>1026.45</v>
      </c>
      <c r="H4">
        <v>0.05</v>
      </c>
      <c r="I4" s="2">
        <f t="shared" si="0"/>
        <v>0.23801959902236774</v>
      </c>
      <c r="J4">
        <f t="shared" si="1"/>
        <v>2625.6979729729742</v>
      </c>
      <c r="K4" t="str">
        <f>VLOOKUP(C4,Customers!A:D,3,FALSE)</f>
        <v>South</v>
      </c>
      <c r="L4" t="str">
        <f>VLOOKUP(C4,Customers!$A:$D,4,FALSE)</f>
        <v>Consumer</v>
      </c>
      <c r="M4" t="str">
        <f>VLOOKUP(C4,Customers!$A:$D,2,FALSE)</f>
        <v>Customer_39</v>
      </c>
    </row>
    <row r="5" spans="1:13" x14ac:dyDescent="0.25">
      <c r="A5" t="s">
        <v>16</v>
      </c>
      <c r="B5" s="1">
        <v>45941</v>
      </c>
      <c r="C5" t="s">
        <v>17</v>
      </c>
      <c r="D5" t="s">
        <v>13</v>
      </c>
      <c r="E5">
        <v>1954.6</v>
      </c>
      <c r="F5">
        <v>10</v>
      </c>
      <c r="G5">
        <v>297.64</v>
      </c>
      <c r="H5">
        <v>0.15</v>
      </c>
      <c r="I5" s="2">
        <f t="shared" si="0"/>
        <v>0.15227668065077254</v>
      </c>
      <c r="J5">
        <f t="shared" si="1"/>
        <v>2614.2234013605453</v>
      </c>
      <c r="K5" t="str">
        <f>VLOOKUP(C5,Customers!A:D,3,FALSE)</f>
        <v>North</v>
      </c>
      <c r="L5" t="str">
        <f>VLOOKUP(C5,Customers!$A:$D,4,FALSE)</f>
        <v>Consumer</v>
      </c>
      <c r="M5" t="str">
        <f>VLOOKUP(C5,Customers!$A:$D,2,FALSE)</f>
        <v>Customer_1</v>
      </c>
    </row>
    <row r="6" spans="1:13" x14ac:dyDescent="0.25">
      <c r="A6" t="s">
        <v>18</v>
      </c>
      <c r="B6" s="1">
        <v>45832</v>
      </c>
      <c r="C6" t="s">
        <v>19</v>
      </c>
      <c r="D6" t="s">
        <v>20</v>
      </c>
      <c r="E6">
        <v>3424.47</v>
      </c>
      <c r="F6">
        <v>9</v>
      </c>
      <c r="G6">
        <v>760.74</v>
      </c>
      <c r="H6">
        <v>0.1</v>
      </c>
      <c r="I6" s="2">
        <f t="shared" si="0"/>
        <v>0.22214824483788734</v>
      </c>
      <c r="J6">
        <f t="shared" si="1"/>
        <v>2618.7413698630148</v>
      </c>
      <c r="K6" t="str">
        <f>VLOOKUP(C6,Customers!A:D,3,FALSE)</f>
        <v>South</v>
      </c>
      <c r="L6" t="str">
        <f>VLOOKUP(C6,Customers!$A:$D,4,FALSE)</f>
        <v>Consumer</v>
      </c>
      <c r="M6" t="str">
        <f>VLOOKUP(C6,Customers!$A:$D,2,FALSE)</f>
        <v>Customer_8</v>
      </c>
    </row>
    <row r="7" spans="1:13" x14ac:dyDescent="0.25">
      <c r="A7" t="s">
        <v>21</v>
      </c>
      <c r="B7" s="1">
        <v>45792</v>
      </c>
      <c r="C7" t="s">
        <v>22</v>
      </c>
      <c r="D7" t="s">
        <v>23</v>
      </c>
      <c r="E7">
        <v>2202.09</v>
      </c>
      <c r="F7">
        <v>8</v>
      </c>
      <c r="G7">
        <v>635.20000000000005</v>
      </c>
      <c r="H7">
        <v>0</v>
      </c>
      <c r="I7" s="2">
        <f t="shared" si="0"/>
        <v>0.28845324214723284</v>
      </c>
      <c r="J7">
        <f t="shared" si="1"/>
        <v>2613.1846206896562</v>
      </c>
      <c r="K7" t="str">
        <f>VLOOKUP(C7,Customers!A:D,3,FALSE)</f>
        <v>East</v>
      </c>
      <c r="L7" t="str">
        <f>VLOOKUP(C7,Customers!$A:$D,4,FALSE)</f>
        <v>Consumer</v>
      </c>
      <c r="M7" t="str">
        <f>VLOOKUP(C7,Customers!$A:$D,2,FALSE)</f>
        <v>Customer_33</v>
      </c>
    </row>
    <row r="8" spans="1:13" x14ac:dyDescent="0.25">
      <c r="A8" t="s">
        <v>24</v>
      </c>
      <c r="B8" s="1">
        <v>45917</v>
      </c>
      <c r="C8" t="s">
        <v>15</v>
      </c>
      <c r="D8" t="s">
        <v>23</v>
      </c>
      <c r="E8">
        <v>2563.02</v>
      </c>
      <c r="F8">
        <v>2</v>
      </c>
      <c r="G8">
        <v>616.19000000000005</v>
      </c>
      <c r="H8">
        <v>0.1</v>
      </c>
      <c r="I8" s="2">
        <f t="shared" si="0"/>
        <v>0.24041560346778412</v>
      </c>
      <c r="J8">
        <f t="shared" si="1"/>
        <v>2616.0394444444455</v>
      </c>
      <c r="K8" t="str">
        <f>VLOOKUP(C8,Customers!A:D,3,FALSE)</f>
        <v>South</v>
      </c>
      <c r="L8" t="str">
        <f>VLOOKUP(C8,Customers!$A:$D,4,FALSE)</f>
        <v>Consumer</v>
      </c>
      <c r="M8" t="str">
        <f>VLOOKUP(C8,Customers!$A:$D,2,FALSE)</f>
        <v>Customer_39</v>
      </c>
    </row>
    <row r="9" spans="1:13" x14ac:dyDescent="0.25">
      <c r="A9" t="s">
        <v>25</v>
      </c>
      <c r="B9" s="1">
        <v>45929</v>
      </c>
      <c r="C9" t="s">
        <v>17</v>
      </c>
      <c r="D9" t="s">
        <v>10</v>
      </c>
      <c r="E9">
        <v>806.55</v>
      </c>
      <c r="F9">
        <v>3</v>
      </c>
      <c r="G9">
        <v>200.33</v>
      </c>
      <c r="H9">
        <v>0.2</v>
      </c>
      <c r="I9" s="2">
        <f t="shared" si="0"/>
        <v>0.24837889777447156</v>
      </c>
      <c r="J9">
        <f t="shared" si="1"/>
        <v>2616.4102097902105</v>
      </c>
      <c r="K9" t="str">
        <f>VLOOKUP(C9,Customers!A:D,3,FALSE)</f>
        <v>North</v>
      </c>
      <c r="L9" t="str">
        <f>VLOOKUP(C9,Customers!$A:$D,4,FALSE)</f>
        <v>Consumer</v>
      </c>
      <c r="M9" t="str">
        <f>VLOOKUP(C9,Customers!$A:$D,2,FALSE)</f>
        <v>Customer_1</v>
      </c>
    </row>
    <row r="10" spans="1:13" x14ac:dyDescent="0.25">
      <c r="A10" t="s">
        <v>26</v>
      </c>
      <c r="B10" s="1">
        <v>45815</v>
      </c>
      <c r="C10" t="s">
        <v>27</v>
      </c>
      <c r="D10" t="s">
        <v>13</v>
      </c>
      <c r="E10">
        <v>1654.57</v>
      </c>
      <c r="F10">
        <v>1</v>
      </c>
      <c r="G10">
        <v>467.04</v>
      </c>
      <c r="H10">
        <v>0</v>
      </c>
      <c r="I10" s="2">
        <f t="shared" si="0"/>
        <v>0.28227273551436327</v>
      </c>
      <c r="J10">
        <f t="shared" si="1"/>
        <v>2629.155704225353</v>
      </c>
      <c r="K10" t="str">
        <f>VLOOKUP(C10,Customers!A:D,3,FALSE)</f>
        <v>East</v>
      </c>
      <c r="L10" t="str">
        <f>VLOOKUP(C10,Customers!$A:$D,4,FALSE)</f>
        <v>Consumer</v>
      </c>
      <c r="M10" t="str">
        <f>VLOOKUP(C10,Customers!$A:$D,2,FALSE)</f>
        <v>Customer_16</v>
      </c>
    </row>
    <row r="11" spans="1:13" x14ac:dyDescent="0.25">
      <c r="A11" t="s">
        <v>28</v>
      </c>
      <c r="B11" s="1">
        <v>45906</v>
      </c>
      <c r="C11" t="s">
        <v>29</v>
      </c>
      <c r="D11" t="s">
        <v>10</v>
      </c>
      <c r="E11">
        <v>1242.31</v>
      </c>
      <c r="F11">
        <v>10</v>
      </c>
      <c r="G11">
        <v>88.72</v>
      </c>
      <c r="H11">
        <v>0</v>
      </c>
      <c r="I11" s="2">
        <f t="shared" si="0"/>
        <v>7.1415347216073288E-2</v>
      </c>
      <c r="J11">
        <f t="shared" si="1"/>
        <v>2636.067659574469</v>
      </c>
      <c r="K11" t="str">
        <f>VLOOKUP(C11,Customers!A:D,3,FALSE)</f>
        <v>North</v>
      </c>
      <c r="L11" t="str">
        <f>VLOOKUP(C11,Customers!$A:$D,4,FALSE)</f>
        <v>Home Office</v>
      </c>
      <c r="M11" t="str">
        <f>VLOOKUP(C11,Customers!$A:$D,2,FALSE)</f>
        <v>Customer_5</v>
      </c>
    </row>
    <row r="12" spans="1:13" x14ac:dyDescent="0.25">
      <c r="A12" t="s">
        <v>30</v>
      </c>
      <c r="B12" s="1">
        <v>45742</v>
      </c>
      <c r="C12" t="s">
        <v>31</v>
      </c>
      <c r="D12" t="s">
        <v>10</v>
      </c>
      <c r="E12">
        <v>3840.88</v>
      </c>
      <c r="F12">
        <v>3</v>
      </c>
      <c r="G12">
        <v>986</v>
      </c>
      <c r="H12">
        <v>0.15</v>
      </c>
      <c r="I12" s="2">
        <f t="shared" si="0"/>
        <v>0.25671200349919809</v>
      </c>
      <c r="J12">
        <f t="shared" si="1"/>
        <v>2646.0230714285722</v>
      </c>
      <c r="K12" t="str">
        <f>VLOOKUP(C12,Customers!A:D,3,FALSE)</f>
        <v>South</v>
      </c>
      <c r="L12" t="str">
        <f>VLOOKUP(C12,Customers!$A:$D,4,FALSE)</f>
        <v>Corporate</v>
      </c>
      <c r="M12" t="str">
        <f>VLOOKUP(C12,Customers!$A:$D,2,FALSE)</f>
        <v>Customer_17</v>
      </c>
    </row>
    <row r="13" spans="1:13" x14ac:dyDescent="0.25">
      <c r="A13" t="s">
        <v>32</v>
      </c>
      <c r="B13" s="1">
        <v>46011</v>
      </c>
      <c r="C13" t="s">
        <v>33</v>
      </c>
      <c r="D13" t="s">
        <v>20</v>
      </c>
      <c r="E13">
        <v>4368.54</v>
      </c>
      <c r="F13">
        <v>7</v>
      </c>
      <c r="G13">
        <v>1189.24</v>
      </c>
      <c r="H13">
        <v>0.05</v>
      </c>
      <c r="I13" s="2">
        <f t="shared" si="0"/>
        <v>0.27222825017053753</v>
      </c>
      <c r="J13">
        <f t="shared" si="1"/>
        <v>2637.4269784172675</v>
      </c>
      <c r="K13" t="str">
        <f>VLOOKUP(C13,Customers!A:D,3,FALSE)</f>
        <v>East</v>
      </c>
      <c r="L13" t="str">
        <f>VLOOKUP(C13,Customers!$A:$D,4,FALSE)</f>
        <v>Consumer</v>
      </c>
      <c r="M13" t="str">
        <f>VLOOKUP(C13,Customers!$A:$D,2,FALSE)</f>
        <v>Customer_13</v>
      </c>
    </row>
    <row r="14" spans="1:13" x14ac:dyDescent="0.25">
      <c r="A14" t="s">
        <v>34</v>
      </c>
      <c r="B14" s="1">
        <v>45889</v>
      </c>
      <c r="C14" t="s">
        <v>19</v>
      </c>
      <c r="D14" t="s">
        <v>23</v>
      </c>
      <c r="E14">
        <v>2025.01</v>
      </c>
      <c r="F14">
        <v>6</v>
      </c>
      <c r="G14">
        <v>495.93</v>
      </c>
      <c r="H14">
        <v>0.15</v>
      </c>
      <c r="I14" s="2">
        <f t="shared" si="0"/>
        <v>0.24490249430867009</v>
      </c>
      <c r="J14">
        <f t="shared" si="1"/>
        <v>2624.8826811594213</v>
      </c>
      <c r="K14" t="str">
        <f>VLOOKUP(C14,Customers!A:D,3,FALSE)</f>
        <v>South</v>
      </c>
      <c r="L14" t="str">
        <f>VLOOKUP(C14,Customers!$A:$D,4,FALSE)</f>
        <v>Consumer</v>
      </c>
      <c r="M14" t="str">
        <f>VLOOKUP(C14,Customers!$A:$D,2,FALSE)</f>
        <v>Customer_8</v>
      </c>
    </row>
    <row r="15" spans="1:13" x14ac:dyDescent="0.25">
      <c r="A15" t="s">
        <v>35</v>
      </c>
      <c r="B15" s="1">
        <v>45775</v>
      </c>
      <c r="C15" t="s">
        <v>36</v>
      </c>
      <c r="D15" t="s">
        <v>23</v>
      </c>
      <c r="E15">
        <v>1162.25</v>
      </c>
      <c r="F15">
        <v>6</v>
      </c>
      <c r="G15">
        <v>229.05</v>
      </c>
      <c r="H15">
        <v>0</v>
      </c>
      <c r="I15" s="2">
        <f t="shared" si="0"/>
        <v>0.19707463970746397</v>
      </c>
      <c r="J15">
        <f t="shared" si="1"/>
        <v>2629.2613138686143</v>
      </c>
      <c r="K15" t="str">
        <f>VLOOKUP(C15,Customers!A:D,3,FALSE)</f>
        <v>South</v>
      </c>
      <c r="L15" t="str">
        <f>VLOOKUP(C15,Customers!$A:$D,4,FALSE)</f>
        <v>Home Office</v>
      </c>
      <c r="M15" t="str">
        <f>VLOOKUP(C15,Customers!$A:$D,2,FALSE)</f>
        <v>Customer_38</v>
      </c>
    </row>
    <row r="16" spans="1:13" x14ac:dyDescent="0.25">
      <c r="A16" t="s">
        <v>37</v>
      </c>
      <c r="B16" s="1">
        <v>45674</v>
      </c>
      <c r="C16" t="s">
        <v>38</v>
      </c>
      <c r="D16" t="s">
        <v>13</v>
      </c>
      <c r="E16">
        <v>85.59</v>
      </c>
      <c r="F16">
        <v>1</v>
      </c>
      <c r="G16">
        <v>4.87</v>
      </c>
      <c r="H16">
        <v>0.05</v>
      </c>
      <c r="I16" s="2">
        <f t="shared" si="0"/>
        <v>5.689917046383923E-2</v>
      </c>
      <c r="J16">
        <f t="shared" si="1"/>
        <v>2640.0481617647065</v>
      </c>
      <c r="K16" t="str">
        <f>VLOOKUP(C16,Customers!A:D,3,FALSE)</f>
        <v>West</v>
      </c>
      <c r="L16" t="str">
        <f>VLOOKUP(C16,Customers!$A:$D,4,FALSE)</f>
        <v>Home Office</v>
      </c>
      <c r="M16" t="str">
        <f>VLOOKUP(C16,Customers!$A:$D,2,FALSE)</f>
        <v>Customer_22</v>
      </c>
    </row>
    <row r="17" spans="1:13" x14ac:dyDescent="0.25">
      <c r="A17" t="s">
        <v>39</v>
      </c>
      <c r="B17" s="1">
        <v>45725</v>
      </c>
      <c r="C17" t="s">
        <v>40</v>
      </c>
      <c r="D17" t="s">
        <v>10</v>
      </c>
      <c r="E17">
        <v>2595.0700000000002</v>
      </c>
      <c r="F17">
        <v>5</v>
      </c>
      <c r="G17">
        <v>190.89</v>
      </c>
      <c r="H17">
        <v>0.15</v>
      </c>
      <c r="I17" s="2">
        <f t="shared" si="0"/>
        <v>7.3558709398975741E-2</v>
      </c>
      <c r="J17">
        <f t="shared" si="1"/>
        <v>2658.970074074075</v>
      </c>
      <c r="K17" t="str">
        <f>VLOOKUP(C17,Customers!A:D,3,FALSE)</f>
        <v>South</v>
      </c>
      <c r="L17" t="str">
        <f>VLOOKUP(C17,Customers!$A:$D,4,FALSE)</f>
        <v>Home Office</v>
      </c>
      <c r="M17" t="str">
        <f>VLOOKUP(C17,Customers!$A:$D,2,FALSE)</f>
        <v>Customer_47</v>
      </c>
    </row>
    <row r="18" spans="1:13" x14ac:dyDescent="0.25">
      <c r="A18" t="s">
        <v>41</v>
      </c>
      <c r="B18" s="1">
        <v>45755</v>
      </c>
      <c r="C18" t="s">
        <v>42</v>
      </c>
      <c r="D18" t="s">
        <v>13</v>
      </c>
      <c r="E18">
        <v>2902.25</v>
      </c>
      <c r="F18">
        <v>4</v>
      </c>
      <c r="G18">
        <v>643.92999999999995</v>
      </c>
      <c r="H18">
        <v>0.15</v>
      </c>
      <c r="I18" s="2">
        <f t="shared" si="0"/>
        <v>0.22187268498578688</v>
      </c>
      <c r="J18">
        <f t="shared" si="1"/>
        <v>2659.4469402985083</v>
      </c>
      <c r="K18" t="str">
        <f>VLOOKUP(C18,Customers!A:D,3,FALSE)</f>
        <v>North</v>
      </c>
      <c r="L18" t="str">
        <f>VLOOKUP(C18,Customers!$A:$D,4,FALSE)</f>
        <v>Consumer</v>
      </c>
      <c r="M18" t="str">
        <f>VLOOKUP(C18,Customers!$A:$D,2,FALSE)</f>
        <v>Customer_7</v>
      </c>
    </row>
    <row r="19" spans="1:13" x14ac:dyDescent="0.25">
      <c r="A19" t="s">
        <v>43</v>
      </c>
      <c r="B19" s="1">
        <v>45685</v>
      </c>
      <c r="C19" t="s">
        <v>44</v>
      </c>
      <c r="D19" t="s">
        <v>13</v>
      </c>
      <c r="E19">
        <v>3311.96</v>
      </c>
      <c r="F19">
        <v>6</v>
      </c>
      <c r="G19">
        <v>406.63</v>
      </c>
      <c r="H19">
        <v>0.15</v>
      </c>
      <c r="I19" s="2">
        <f t="shared" si="0"/>
        <v>0.1227762412589524</v>
      </c>
      <c r="J19">
        <f t="shared" si="1"/>
        <v>2657.6213533834593</v>
      </c>
      <c r="K19" t="str">
        <f>VLOOKUP(C19,Customers!A:D,3,FALSE)</f>
        <v>South</v>
      </c>
      <c r="L19" t="str">
        <f>VLOOKUP(C19,Customers!$A:$D,4,FALSE)</f>
        <v>Consumer</v>
      </c>
      <c r="M19" t="str">
        <f>VLOOKUP(C19,Customers!$A:$D,2,FALSE)</f>
        <v>Customer_44</v>
      </c>
    </row>
    <row r="20" spans="1:13" x14ac:dyDescent="0.25">
      <c r="A20" t="s">
        <v>45</v>
      </c>
      <c r="B20" s="1">
        <v>45755</v>
      </c>
      <c r="C20" t="s">
        <v>46</v>
      </c>
      <c r="D20" t="s">
        <v>47</v>
      </c>
      <c r="E20">
        <v>350.03</v>
      </c>
      <c r="F20">
        <v>6</v>
      </c>
      <c r="G20">
        <v>39.26</v>
      </c>
      <c r="H20">
        <v>0</v>
      </c>
      <c r="I20" s="2">
        <f t="shared" si="0"/>
        <v>0.11216181470159702</v>
      </c>
      <c r="J20">
        <f t="shared" si="1"/>
        <v>2652.6642424242427</v>
      </c>
      <c r="K20" t="str">
        <f>VLOOKUP(C20,Customers!A:D,3,FALSE)</f>
        <v>South</v>
      </c>
      <c r="L20" t="str">
        <f>VLOOKUP(C20,Customers!$A:$D,4,FALSE)</f>
        <v>Home Office</v>
      </c>
      <c r="M20" t="str">
        <f>VLOOKUP(C20,Customers!$A:$D,2,FALSE)</f>
        <v>Customer_35</v>
      </c>
    </row>
    <row r="21" spans="1:13" x14ac:dyDescent="0.25">
      <c r="A21" t="s">
        <v>48</v>
      </c>
      <c r="B21" s="1">
        <v>45696</v>
      </c>
      <c r="C21" t="s">
        <v>49</v>
      </c>
      <c r="D21" t="s">
        <v>10</v>
      </c>
      <c r="E21">
        <v>743.9</v>
      </c>
      <c r="F21">
        <v>3</v>
      </c>
      <c r="G21">
        <v>108.35</v>
      </c>
      <c r="H21">
        <v>0.1</v>
      </c>
      <c r="I21" s="2">
        <f t="shared" si="0"/>
        <v>0.14565129721736791</v>
      </c>
      <c r="J21">
        <f t="shared" si="1"/>
        <v>2670.2416030534355</v>
      </c>
      <c r="K21" t="str">
        <f>VLOOKUP(C21,Customers!A:D,3,FALSE)</f>
        <v>South</v>
      </c>
      <c r="L21" t="str">
        <f>VLOOKUP(C21,Customers!$A:$D,4,FALSE)</f>
        <v>Corporate</v>
      </c>
      <c r="M21" t="str">
        <f>VLOOKUP(C21,Customers!$A:$D,2,FALSE)</f>
        <v>Customer_29</v>
      </c>
    </row>
    <row r="22" spans="1:13" x14ac:dyDescent="0.25">
      <c r="A22" t="s">
        <v>50</v>
      </c>
      <c r="B22" s="1">
        <v>45779</v>
      </c>
      <c r="C22" t="s">
        <v>51</v>
      </c>
      <c r="D22" t="s">
        <v>47</v>
      </c>
      <c r="E22">
        <v>534.65</v>
      </c>
      <c r="F22">
        <v>9</v>
      </c>
      <c r="G22">
        <v>156.25</v>
      </c>
      <c r="H22">
        <v>0</v>
      </c>
      <c r="I22" s="2">
        <f t="shared" si="0"/>
        <v>0.29224726456560368</v>
      </c>
      <c r="J22">
        <f t="shared" si="1"/>
        <v>2685.0596153846154</v>
      </c>
      <c r="K22" t="str">
        <f>VLOOKUP(C22,Customers!A:D,3,FALSE)</f>
        <v>West</v>
      </c>
      <c r="L22" t="str">
        <f>VLOOKUP(C22,Customers!$A:$D,4,FALSE)</f>
        <v>Consumer</v>
      </c>
      <c r="M22" t="str">
        <f>VLOOKUP(C22,Customers!$A:$D,2,FALSE)</f>
        <v>Customer_11</v>
      </c>
    </row>
    <row r="23" spans="1:13" x14ac:dyDescent="0.25">
      <c r="A23" t="s">
        <v>52</v>
      </c>
      <c r="B23" s="1">
        <v>45742</v>
      </c>
      <c r="C23" t="s">
        <v>53</v>
      </c>
      <c r="D23" t="s">
        <v>13</v>
      </c>
      <c r="E23">
        <v>2453.92</v>
      </c>
      <c r="F23">
        <v>4</v>
      </c>
      <c r="G23">
        <v>602.71</v>
      </c>
      <c r="H23">
        <v>0.15</v>
      </c>
      <c r="I23" s="2">
        <f t="shared" si="0"/>
        <v>0.24561110386646673</v>
      </c>
      <c r="J23">
        <f t="shared" si="1"/>
        <v>2701.7294573643408</v>
      </c>
      <c r="K23" t="str">
        <f>VLOOKUP(C23,Customers!A:D,3,FALSE)</f>
        <v>East</v>
      </c>
      <c r="L23" t="str">
        <f>VLOOKUP(C23,Customers!$A:$D,4,FALSE)</f>
        <v>Home Office</v>
      </c>
      <c r="M23" t="str">
        <f>VLOOKUP(C23,Customers!$A:$D,2,FALSE)</f>
        <v>Customer_25</v>
      </c>
    </row>
    <row r="24" spans="1:13" x14ac:dyDescent="0.25">
      <c r="A24" t="s">
        <v>54</v>
      </c>
      <c r="B24" s="1">
        <v>46014</v>
      </c>
      <c r="C24" t="s">
        <v>40</v>
      </c>
      <c r="D24" t="s">
        <v>10</v>
      </c>
      <c r="E24">
        <v>4927.28</v>
      </c>
      <c r="F24">
        <v>5</v>
      </c>
      <c r="G24">
        <v>449.92</v>
      </c>
      <c r="H24">
        <v>0.15</v>
      </c>
      <c r="I24" s="2">
        <f t="shared" si="0"/>
        <v>9.1312042343848945E-2</v>
      </c>
      <c r="J24">
        <f t="shared" si="1"/>
        <v>2703.6654687499999</v>
      </c>
      <c r="K24" t="str">
        <f>VLOOKUP(C24,Customers!A:D,3,FALSE)</f>
        <v>South</v>
      </c>
      <c r="L24" t="str">
        <f>VLOOKUP(C24,Customers!$A:$D,4,FALSE)</f>
        <v>Home Office</v>
      </c>
      <c r="M24" t="str">
        <f>VLOOKUP(C24,Customers!$A:$D,2,FALSE)</f>
        <v>Customer_47</v>
      </c>
    </row>
    <row r="25" spans="1:13" x14ac:dyDescent="0.25">
      <c r="A25" t="s">
        <v>55</v>
      </c>
      <c r="B25" s="1">
        <v>45769</v>
      </c>
      <c r="C25" t="s">
        <v>56</v>
      </c>
      <c r="D25" t="s">
        <v>10</v>
      </c>
      <c r="E25">
        <v>3326.26</v>
      </c>
      <c r="F25">
        <v>8</v>
      </c>
      <c r="G25">
        <v>290.95999999999998</v>
      </c>
      <c r="H25">
        <v>0.05</v>
      </c>
      <c r="I25" s="2">
        <f t="shared" si="0"/>
        <v>8.7473619019559495E-2</v>
      </c>
      <c r="J25">
        <f t="shared" si="1"/>
        <v>2686.1566929133855</v>
      </c>
      <c r="K25" t="str">
        <f>VLOOKUP(C25,Customers!A:D,3,FALSE)</f>
        <v>North</v>
      </c>
      <c r="L25" t="str">
        <f>VLOOKUP(C25,Customers!$A:$D,4,FALSE)</f>
        <v>Home Office</v>
      </c>
      <c r="M25" t="str">
        <f>VLOOKUP(C25,Customers!$A:$D,2,FALSE)</f>
        <v>Customer_4</v>
      </c>
    </row>
    <row r="26" spans="1:13" x14ac:dyDescent="0.25">
      <c r="A26" t="s">
        <v>57</v>
      </c>
      <c r="B26" s="1">
        <v>45957</v>
      </c>
      <c r="C26" t="s">
        <v>58</v>
      </c>
      <c r="D26" t="s">
        <v>10</v>
      </c>
      <c r="E26">
        <v>3691.9</v>
      </c>
      <c r="F26">
        <v>1</v>
      </c>
      <c r="G26">
        <v>163.52000000000001</v>
      </c>
      <c r="H26">
        <v>0.1</v>
      </c>
      <c r="I26" s="2">
        <f t="shared" si="0"/>
        <v>4.4291557192773369E-2</v>
      </c>
      <c r="J26">
        <f t="shared" si="1"/>
        <v>2681.0765079365078</v>
      </c>
      <c r="K26" t="str">
        <f>VLOOKUP(C26,Customers!A:D,3,FALSE)</f>
        <v>North</v>
      </c>
      <c r="L26" t="str">
        <f>VLOOKUP(C26,Customers!$A:$D,4,FALSE)</f>
        <v>Corporate</v>
      </c>
      <c r="M26" t="str">
        <f>VLOOKUP(C26,Customers!$A:$D,2,FALSE)</f>
        <v>Customer_31</v>
      </c>
    </row>
    <row r="27" spans="1:13" x14ac:dyDescent="0.25">
      <c r="A27" t="s">
        <v>59</v>
      </c>
      <c r="B27" s="1">
        <v>45918</v>
      </c>
      <c r="C27" t="s">
        <v>60</v>
      </c>
      <c r="D27" t="s">
        <v>23</v>
      </c>
      <c r="E27">
        <v>4600.97</v>
      </c>
      <c r="F27">
        <v>9</v>
      </c>
      <c r="G27">
        <v>249.46</v>
      </c>
      <c r="H27">
        <v>0.05</v>
      </c>
      <c r="I27" s="2">
        <f t="shared" si="0"/>
        <v>5.4219001645305229E-2</v>
      </c>
      <c r="J27">
        <f t="shared" si="1"/>
        <v>2672.9899200000004</v>
      </c>
      <c r="K27" t="str">
        <f>VLOOKUP(C27,Customers!A:D,3,FALSE)</f>
        <v>West</v>
      </c>
      <c r="L27" t="str">
        <f>VLOOKUP(C27,Customers!$A:$D,4,FALSE)</f>
        <v>Consumer</v>
      </c>
      <c r="M27" t="str">
        <f>VLOOKUP(C27,Customers!$A:$D,2,FALSE)</f>
        <v>Customer_6</v>
      </c>
    </row>
    <row r="28" spans="1:13" x14ac:dyDescent="0.25">
      <c r="A28" t="s">
        <v>61</v>
      </c>
      <c r="B28" s="1">
        <v>45949</v>
      </c>
      <c r="C28" t="s">
        <v>27</v>
      </c>
      <c r="D28" t="s">
        <v>10</v>
      </c>
      <c r="E28">
        <v>389.18</v>
      </c>
      <c r="F28">
        <v>2</v>
      </c>
      <c r="G28">
        <v>54.85</v>
      </c>
      <c r="H28">
        <v>0.05</v>
      </c>
      <c r="I28" s="2">
        <f t="shared" si="0"/>
        <v>0.14093735546533737</v>
      </c>
      <c r="J28">
        <f t="shared" si="1"/>
        <v>2657.4416935483873</v>
      </c>
      <c r="K28" t="str">
        <f>VLOOKUP(C28,Customers!A:D,3,FALSE)</f>
        <v>East</v>
      </c>
      <c r="L28" t="str">
        <f>VLOOKUP(C28,Customers!$A:$D,4,FALSE)</f>
        <v>Consumer</v>
      </c>
      <c r="M28" t="str">
        <f>VLOOKUP(C28,Customers!$A:$D,2,FALSE)</f>
        <v>Customer_16</v>
      </c>
    </row>
    <row r="29" spans="1:13" x14ac:dyDescent="0.25">
      <c r="A29" t="s">
        <v>62</v>
      </c>
      <c r="B29" s="1">
        <v>45956</v>
      </c>
      <c r="C29" t="s">
        <v>63</v>
      </c>
      <c r="D29" t="s">
        <v>10</v>
      </c>
      <c r="E29">
        <v>2992.87</v>
      </c>
      <c r="F29">
        <v>10</v>
      </c>
      <c r="G29">
        <v>463.31</v>
      </c>
      <c r="H29">
        <v>0</v>
      </c>
      <c r="I29" s="2">
        <f t="shared" si="0"/>
        <v>0.15480458556502621</v>
      </c>
      <c r="J29">
        <f t="shared" si="1"/>
        <v>2675.8828455284556</v>
      </c>
      <c r="K29" t="str">
        <f>VLOOKUP(C29,Customers!A:D,3,FALSE)</f>
        <v>North</v>
      </c>
      <c r="L29" t="str">
        <f>VLOOKUP(C29,Customers!$A:$D,4,FALSE)</f>
        <v>Home Office</v>
      </c>
      <c r="M29" t="str">
        <f>VLOOKUP(C29,Customers!$A:$D,2,FALSE)</f>
        <v>Customer_37</v>
      </c>
    </row>
    <row r="30" spans="1:13" x14ac:dyDescent="0.25">
      <c r="A30" t="s">
        <v>64</v>
      </c>
      <c r="B30" s="1">
        <v>45818</v>
      </c>
      <c r="C30" t="s">
        <v>27</v>
      </c>
      <c r="D30" t="s">
        <v>20</v>
      </c>
      <c r="E30">
        <v>1616.03</v>
      </c>
      <c r="F30">
        <v>5</v>
      </c>
      <c r="G30">
        <v>335.22</v>
      </c>
      <c r="H30">
        <v>0.05</v>
      </c>
      <c r="I30" s="2">
        <f t="shared" si="0"/>
        <v>0.20743426792819442</v>
      </c>
      <c r="J30">
        <f t="shared" si="1"/>
        <v>2673.2845901639353</v>
      </c>
      <c r="K30" t="str">
        <f>VLOOKUP(C30,Customers!A:D,3,FALSE)</f>
        <v>East</v>
      </c>
      <c r="L30" t="str">
        <f>VLOOKUP(C30,Customers!$A:$D,4,FALSE)</f>
        <v>Consumer</v>
      </c>
      <c r="M30" t="str">
        <f>VLOOKUP(C30,Customers!$A:$D,2,FALSE)</f>
        <v>Customer_16</v>
      </c>
    </row>
    <row r="31" spans="1:13" x14ac:dyDescent="0.25">
      <c r="A31" t="s">
        <v>65</v>
      </c>
      <c r="B31" s="1">
        <v>45695</v>
      </c>
      <c r="C31" t="s">
        <v>17</v>
      </c>
      <c r="D31" t="s">
        <v>47</v>
      </c>
      <c r="E31">
        <v>2009.14</v>
      </c>
      <c r="F31">
        <v>5</v>
      </c>
      <c r="G31">
        <v>198.99</v>
      </c>
      <c r="H31">
        <v>0.15</v>
      </c>
      <c r="I31" s="2">
        <f t="shared" si="0"/>
        <v>9.9042376340125624E-2</v>
      </c>
      <c r="J31">
        <f t="shared" si="1"/>
        <v>2682.0222314049597</v>
      </c>
      <c r="K31" t="str">
        <f>VLOOKUP(C31,Customers!A:D,3,FALSE)</f>
        <v>North</v>
      </c>
      <c r="L31" t="str">
        <f>VLOOKUP(C31,Customers!$A:$D,4,FALSE)</f>
        <v>Consumer</v>
      </c>
      <c r="M31" t="str">
        <f>VLOOKUP(C31,Customers!$A:$D,2,FALSE)</f>
        <v>Customer_1</v>
      </c>
    </row>
    <row r="32" spans="1:13" x14ac:dyDescent="0.25">
      <c r="A32" t="s">
        <v>66</v>
      </c>
      <c r="B32" s="1">
        <v>45767</v>
      </c>
      <c r="C32" t="s">
        <v>22</v>
      </c>
      <c r="D32" t="s">
        <v>20</v>
      </c>
      <c r="E32">
        <v>3124.74</v>
      </c>
      <c r="F32">
        <v>10</v>
      </c>
      <c r="G32">
        <v>213.47</v>
      </c>
      <c r="H32">
        <v>0</v>
      </c>
      <c r="I32" s="2">
        <f t="shared" si="0"/>
        <v>6.8316083898180335E-2</v>
      </c>
      <c r="J32">
        <f t="shared" si="1"/>
        <v>2687.6295833333343</v>
      </c>
      <c r="K32" t="str">
        <f>VLOOKUP(C32,Customers!A:D,3,FALSE)</f>
        <v>East</v>
      </c>
      <c r="L32" t="str">
        <f>VLOOKUP(C32,Customers!$A:$D,4,FALSE)</f>
        <v>Consumer</v>
      </c>
      <c r="M32" t="str">
        <f>VLOOKUP(C32,Customers!$A:$D,2,FALSE)</f>
        <v>Customer_33</v>
      </c>
    </row>
    <row r="33" spans="1:13" x14ac:dyDescent="0.25">
      <c r="A33" t="s">
        <v>67</v>
      </c>
      <c r="B33" s="1">
        <v>45847</v>
      </c>
      <c r="C33" t="s">
        <v>68</v>
      </c>
      <c r="D33" t="s">
        <v>23</v>
      </c>
      <c r="E33">
        <v>705.66</v>
      </c>
      <c r="F33">
        <v>6</v>
      </c>
      <c r="G33">
        <v>190.4</v>
      </c>
      <c r="H33">
        <v>0</v>
      </c>
      <c r="I33" s="2">
        <f t="shared" si="0"/>
        <v>0.26981832610605677</v>
      </c>
      <c r="J33">
        <f t="shared" si="1"/>
        <v>2683.9563865546224</v>
      </c>
      <c r="K33" t="str">
        <f>VLOOKUP(C33,Customers!A:D,3,FALSE)</f>
        <v>West</v>
      </c>
      <c r="L33" t="str">
        <f>VLOOKUP(C33,Customers!$A:$D,4,FALSE)</f>
        <v>Consumer</v>
      </c>
      <c r="M33" t="str">
        <f>VLOOKUP(C33,Customers!$A:$D,2,FALSE)</f>
        <v>Customer_19</v>
      </c>
    </row>
    <row r="34" spans="1:13" x14ac:dyDescent="0.25">
      <c r="A34" t="s">
        <v>69</v>
      </c>
      <c r="B34" s="1">
        <v>45992</v>
      </c>
      <c r="C34" t="s">
        <v>70</v>
      </c>
      <c r="D34" t="s">
        <v>13</v>
      </c>
      <c r="E34">
        <v>2219.0100000000002</v>
      </c>
      <c r="F34">
        <v>9</v>
      </c>
      <c r="G34">
        <v>405.9</v>
      </c>
      <c r="H34">
        <v>0.1</v>
      </c>
      <c r="I34" s="2">
        <f t="shared" si="0"/>
        <v>0.18291941000716533</v>
      </c>
      <c r="J34">
        <f t="shared" ref="J34:J65" si="2">SUM(E34:E183)/COUNTA(A34:A183)</f>
        <v>2700.7216101694921</v>
      </c>
      <c r="K34" t="str">
        <f>VLOOKUP(C34,Customers!A:D,3,FALSE)</f>
        <v>East</v>
      </c>
      <c r="L34" t="str">
        <f>VLOOKUP(C34,Customers!$A:$D,4,FALSE)</f>
        <v>Corporate</v>
      </c>
      <c r="M34" t="str">
        <f>VLOOKUP(C34,Customers!$A:$D,2,FALSE)</f>
        <v>Customer_34</v>
      </c>
    </row>
    <row r="35" spans="1:13" x14ac:dyDescent="0.25">
      <c r="A35" t="s">
        <v>71</v>
      </c>
      <c r="B35" s="1">
        <v>45711</v>
      </c>
      <c r="C35" t="s">
        <v>72</v>
      </c>
      <c r="D35" t="s">
        <v>20</v>
      </c>
      <c r="E35">
        <v>3355.92</v>
      </c>
      <c r="F35">
        <v>9</v>
      </c>
      <c r="G35">
        <v>882.4</v>
      </c>
      <c r="H35">
        <v>0.1</v>
      </c>
      <c r="I35" s="2">
        <f t="shared" si="0"/>
        <v>0.26293832987675508</v>
      </c>
      <c r="J35">
        <f t="shared" si="2"/>
        <v>2704.8388034188047</v>
      </c>
      <c r="K35" t="str">
        <f>VLOOKUP(C35,Customers!A:D,3,FALSE)</f>
        <v>North</v>
      </c>
      <c r="L35" t="str">
        <f>VLOOKUP(C35,Customers!$A:$D,4,FALSE)</f>
        <v>Home Office</v>
      </c>
      <c r="M35" t="str">
        <f>VLOOKUP(C35,Customers!$A:$D,2,FALSE)</f>
        <v>Customer_9</v>
      </c>
    </row>
    <row r="36" spans="1:13" x14ac:dyDescent="0.25">
      <c r="A36" t="s">
        <v>73</v>
      </c>
      <c r="B36" s="1">
        <v>45802</v>
      </c>
      <c r="C36" t="s">
        <v>15</v>
      </c>
      <c r="D36" t="s">
        <v>23</v>
      </c>
      <c r="E36">
        <v>621.37</v>
      </c>
      <c r="F36">
        <v>2</v>
      </c>
      <c r="G36">
        <v>30.36</v>
      </c>
      <c r="H36">
        <v>0.2</v>
      </c>
      <c r="I36" s="2">
        <f t="shared" si="0"/>
        <v>4.8859777588232456E-2</v>
      </c>
      <c r="J36">
        <f t="shared" si="2"/>
        <v>2699.2260344827596</v>
      </c>
      <c r="K36" t="str">
        <f>VLOOKUP(C36,Customers!A:D,3,FALSE)</f>
        <v>South</v>
      </c>
      <c r="L36" t="str">
        <f>VLOOKUP(C36,Customers!$A:$D,4,FALSE)</f>
        <v>Consumer</v>
      </c>
      <c r="M36" t="str">
        <f>VLOOKUP(C36,Customers!$A:$D,2,FALSE)</f>
        <v>Customer_39</v>
      </c>
    </row>
    <row r="37" spans="1:13" x14ac:dyDescent="0.25">
      <c r="A37" t="s">
        <v>74</v>
      </c>
      <c r="B37" s="1">
        <v>45786</v>
      </c>
      <c r="C37" t="s">
        <v>56</v>
      </c>
      <c r="D37" t="s">
        <v>13</v>
      </c>
      <c r="E37">
        <v>3602.18</v>
      </c>
      <c r="F37">
        <v>4</v>
      </c>
      <c r="G37">
        <v>563.21</v>
      </c>
      <c r="H37">
        <v>0.1</v>
      </c>
      <c r="I37" s="2">
        <f t="shared" si="0"/>
        <v>0.15635254207174545</v>
      </c>
      <c r="J37">
        <f t="shared" si="2"/>
        <v>2717.2943478260877</v>
      </c>
      <c r="K37" t="str">
        <f>VLOOKUP(C37,Customers!A:D,3,FALSE)</f>
        <v>North</v>
      </c>
      <c r="L37" t="str">
        <f>VLOOKUP(C37,Customers!$A:$D,4,FALSE)</f>
        <v>Home Office</v>
      </c>
      <c r="M37" t="str">
        <f>VLOOKUP(C37,Customers!$A:$D,2,FALSE)</f>
        <v>Customer_4</v>
      </c>
    </row>
    <row r="38" spans="1:13" x14ac:dyDescent="0.25">
      <c r="A38" t="s">
        <v>75</v>
      </c>
      <c r="B38" s="1">
        <v>45724</v>
      </c>
      <c r="C38" t="s">
        <v>76</v>
      </c>
      <c r="D38" t="s">
        <v>20</v>
      </c>
      <c r="E38">
        <v>3189.71</v>
      </c>
      <c r="F38">
        <v>5</v>
      </c>
      <c r="G38">
        <v>162.31</v>
      </c>
      <c r="H38">
        <v>0</v>
      </c>
      <c r="I38" s="2">
        <f t="shared" si="0"/>
        <v>5.0885503697828328E-2</v>
      </c>
      <c r="J38">
        <f t="shared" si="2"/>
        <v>2709.5321929824572</v>
      </c>
      <c r="K38" t="str">
        <f>VLOOKUP(C38,Customers!A:D,3,FALSE)</f>
        <v>East</v>
      </c>
      <c r="L38" t="str">
        <f>VLOOKUP(C38,Customers!$A:$D,4,FALSE)</f>
        <v>Home Office</v>
      </c>
      <c r="M38" t="str">
        <f>VLOOKUP(C38,Customers!$A:$D,2,FALSE)</f>
        <v>Customer_41</v>
      </c>
    </row>
    <row r="39" spans="1:13" x14ac:dyDescent="0.25">
      <c r="A39" t="s">
        <v>77</v>
      </c>
      <c r="B39" s="1">
        <v>45945</v>
      </c>
      <c r="C39" t="s">
        <v>17</v>
      </c>
      <c r="D39" t="s">
        <v>13</v>
      </c>
      <c r="E39">
        <v>849.83</v>
      </c>
      <c r="F39">
        <v>8</v>
      </c>
      <c r="G39">
        <v>158.41999999999999</v>
      </c>
      <c r="H39">
        <v>0.2</v>
      </c>
      <c r="I39" s="2">
        <f t="shared" si="0"/>
        <v>0.18641375333890306</v>
      </c>
      <c r="J39">
        <f t="shared" si="2"/>
        <v>2705.2828318584079</v>
      </c>
      <c r="K39" t="str">
        <f>VLOOKUP(C39,Customers!A:D,3,FALSE)</f>
        <v>North</v>
      </c>
      <c r="L39" t="str">
        <f>VLOOKUP(C39,Customers!$A:$D,4,FALSE)</f>
        <v>Consumer</v>
      </c>
      <c r="M39" t="str">
        <f>VLOOKUP(C39,Customers!$A:$D,2,FALSE)</f>
        <v>Customer_1</v>
      </c>
    </row>
    <row r="40" spans="1:13" x14ac:dyDescent="0.25">
      <c r="A40" t="s">
        <v>78</v>
      </c>
      <c r="B40" s="1">
        <v>45847</v>
      </c>
      <c r="C40" t="s">
        <v>36</v>
      </c>
      <c r="D40" t="s">
        <v>10</v>
      </c>
      <c r="E40">
        <v>422.46</v>
      </c>
      <c r="F40">
        <v>3</v>
      </c>
      <c r="G40">
        <v>8.0299999999999994</v>
      </c>
      <c r="H40">
        <v>0.2</v>
      </c>
      <c r="I40" s="2">
        <f t="shared" si="0"/>
        <v>1.9007716706907162E-2</v>
      </c>
      <c r="J40">
        <f t="shared" si="2"/>
        <v>2721.8493750000007</v>
      </c>
      <c r="K40" t="str">
        <f>VLOOKUP(C40,Customers!A:D,3,FALSE)</f>
        <v>South</v>
      </c>
      <c r="L40" t="str">
        <f>VLOOKUP(C40,Customers!$A:$D,4,FALSE)</f>
        <v>Home Office</v>
      </c>
      <c r="M40" t="str">
        <f>VLOOKUP(C40,Customers!$A:$D,2,FALSE)</f>
        <v>Customer_38</v>
      </c>
    </row>
    <row r="41" spans="1:13" x14ac:dyDescent="0.25">
      <c r="A41" t="s">
        <v>79</v>
      </c>
      <c r="B41" s="1">
        <v>45678</v>
      </c>
      <c r="C41" t="s">
        <v>80</v>
      </c>
      <c r="D41" t="s">
        <v>23</v>
      </c>
      <c r="E41">
        <v>783.06</v>
      </c>
      <c r="F41">
        <v>3</v>
      </c>
      <c r="G41">
        <v>99.5</v>
      </c>
      <c r="H41">
        <v>0</v>
      </c>
      <c r="I41" s="2">
        <f t="shared" si="0"/>
        <v>0.12706561438459379</v>
      </c>
      <c r="J41">
        <f t="shared" si="2"/>
        <v>2742.5645945945953</v>
      </c>
      <c r="K41" t="str">
        <f>VLOOKUP(C41,Customers!A:D,3,FALSE)</f>
        <v>North</v>
      </c>
      <c r="L41" t="str">
        <f>VLOOKUP(C41,Customers!$A:$D,4,FALSE)</f>
        <v>Corporate</v>
      </c>
      <c r="M41" t="str">
        <f>VLOOKUP(C41,Customers!$A:$D,2,FALSE)</f>
        <v>Customer_23</v>
      </c>
    </row>
    <row r="42" spans="1:13" x14ac:dyDescent="0.25">
      <c r="A42" t="s">
        <v>81</v>
      </c>
      <c r="B42" s="1">
        <v>45866</v>
      </c>
      <c r="C42" t="s">
        <v>82</v>
      </c>
      <c r="D42" t="s">
        <v>23</v>
      </c>
      <c r="E42">
        <v>3426.23</v>
      </c>
      <c r="F42">
        <v>2</v>
      </c>
      <c r="G42">
        <v>771</v>
      </c>
      <c r="H42">
        <v>0.1</v>
      </c>
      <c r="I42" s="2">
        <f t="shared" si="0"/>
        <v>0.22502867583320443</v>
      </c>
      <c r="J42">
        <f t="shared" si="2"/>
        <v>2760.3782727272737</v>
      </c>
      <c r="K42" t="str">
        <f>VLOOKUP(C42,Customers!A:D,3,FALSE)</f>
        <v>West</v>
      </c>
      <c r="L42" t="str">
        <f>VLOOKUP(C42,Customers!$A:$D,4,FALSE)</f>
        <v>Corporate</v>
      </c>
      <c r="M42" t="str">
        <f>VLOOKUP(C42,Customers!$A:$D,2,FALSE)</f>
        <v>Customer_40</v>
      </c>
    </row>
    <row r="43" spans="1:13" x14ac:dyDescent="0.25">
      <c r="A43" t="s">
        <v>83</v>
      </c>
      <c r="B43" s="1">
        <v>45748</v>
      </c>
      <c r="C43" t="s">
        <v>84</v>
      </c>
      <c r="D43" t="s">
        <v>13</v>
      </c>
      <c r="E43">
        <v>4632.53</v>
      </c>
      <c r="F43">
        <v>4</v>
      </c>
      <c r="G43">
        <v>1315.88</v>
      </c>
      <c r="H43">
        <v>0.05</v>
      </c>
      <c r="I43" s="2">
        <f t="shared" si="0"/>
        <v>0.28405212702346239</v>
      </c>
      <c r="J43">
        <f t="shared" si="2"/>
        <v>2754.2695412844046</v>
      </c>
      <c r="K43" t="str">
        <f>VLOOKUP(C43,Customers!A:D,3,FALSE)</f>
        <v>South</v>
      </c>
      <c r="L43" t="str">
        <f>VLOOKUP(C43,Customers!$A:$D,4,FALSE)</f>
        <v>Home Office</v>
      </c>
      <c r="M43" t="str">
        <f>VLOOKUP(C43,Customers!$A:$D,2,FALSE)</f>
        <v>Customer_27</v>
      </c>
    </row>
    <row r="44" spans="1:13" x14ac:dyDescent="0.25">
      <c r="A44" t="s">
        <v>85</v>
      </c>
      <c r="B44" s="1">
        <v>45785</v>
      </c>
      <c r="C44" t="s">
        <v>86</v>
      </c>
      <c r="D44" t="s">
        <v>23</v>
      </c>
      <c r="E44">
        <v>937.84</v>
      </c>
      <c r="F44">
        <v>6</v>
      </c>
      <c r="G44">
        <v>206.85</v>
      </c>
      <c r="H44">
        <v>0.15</v>
      </c>
      <c r="I44" s="2">
        <f t="shared" si="0"/>
        <v>0.22056001023628763</v>
      </c>
      <c r="J44">
        <f t="shared" si="2"/>
        <v>2736.8782407407416</v>
      </c>
      <c r="K44" t="str">
        <f>VLOOKUP(C44,Customers!A:D,3,FALSE)</f>
        <v>North</v>
      </c>
      <c r="L44" t="str">
        <f>VLOOKUP(C44,Customers!$A:$D,4,FALSE)</f>
        <v>Consumer</v>
      </c>
      <c r="M44" t="str">
        <f>VLOOKUP(C44,Customers!$A:$D,2,FALSE)</f>
        <v>Customer_18</v>
      </c>
    </row>
    <row r="45" spans="1:13" x14ac:dyDescent="0.25">
      <c r="A45" t="s">
        <v>87</v>
      </c>
      <c r="B45" s="1">
        <v>45898</v>
      </c>
      <c r="C45" t="s">
        <v>88</v>
      </c>
      <c r="D45" t="s">
        <v>23</v>
      </c>
      <c r="E45">
        <v>3947.5</v>
      </c>
      <c r="F45">
        <v>2</v>
      </c>
      <c r="G45">
        <v>939.67</v>
      </c>
      <c r="H45">
        <v>0.15</v>
      </c>
      <c r="I45" s="2">
        <f t="shared" si="0"/>
        <v>0.2380417986067131</v>
      </c>
      <c r="J45">
        <f t="shared" si="2"/>
        <v>2753.6916822429916</v>
      </c>
      <c r="K45" t="str">
        <f>VLOOKUP(C45,Customers!A:D,3,FALSE)</f>
        <v>West</v>
      </c>
      <c r="L45" t="str">
        <f>VLOOKUP(C45,Customers!$A:$D,4,FALSE)</f>
        <v>Corporate</v>
      </c>
      <c r="M45" t="str">
        <f>VLOOKUP(C45,Customers!$A:$D,2,FALSE)</f>
        <v>Customer_15</v>
      </c>
    </row>
    <row r="46" spans="1:13" x14ac:dyDescent="0.25">
      <c r="A46" t="s">
        <v>89</v>
      </c>
      <c r="B46" s="1">
        <v>45774</v>
      </c>
      <c r="C46" t="s">
        <v>88</v>
      </c>
      <c r="D46" t="s">
        <v>13</v>
      </c>
      <c r="E46">
        <v>4092.1</v>
      </c>
      <c r="F46">
        <v>8</v>
      </c>
      <c r="G46">
        <v>434.98</v>
      </c>
      <c r="H46">
        <v>0.1</v>
      </c>
      <c r="I46" s="2">
        <f t="shared" si="0"/>
        <v>0.10629750006109333</v>
      </c>
      <c r="J46">
        <f t="shared" si="2"/>
        <v>2742.4293396226421</v>
      </c>
      <c r="K46" t="str">
        <f>VLOOKUP(C46,Customers!A:D,3,FALSE)</f>
        <v>West</v>
      </c>
      <c r="L46" t="str">
        <f>VLOOKUP(C46,Customers!$A:$D,4,FALSE)</f>
        <v>Corporate</v>
      </c>
      <c r="M46" t="str">
        <f>VLOOKUP(C46,Customers!$A:$D,2,FALSE)</f>
        <v>Customer_15</v>
      </c>
    </row>
    <row r="47" spans="1:13" x14ac:dyDescent="0.25">
      <c r="A47" t="s">
        <v>90</v>
      </c>
      <c r="B47" s="1">
        <v>45693</v>
      </c>
      <c r="C47" t="s">
        <v>91</v>
      </c>
      <c r="D47" t="s">
        <v>20</v>
      </c>
      <c r="E47">
        <v>3317.16</v>
      </c>
      <c r="F47">
        <v>7</v>
      </c>
      <c r="G47">
        <v>330.56</v>
      </c>
      <c r="H47">
        <v>0.1</v>
      </c>
      <c r="I47" s="2">
        <f t="shared" si="0"/>
        <v>9.9651509122261214E-2</v>
      </c>
      <c r="J47">
        <f t="shared" si="2"/>
        <v>2729.5753333333337</v>
      </c>
      <c r="K47" t="str">
        <f>VLOOKUP(C47,Customers!A:D,3,FALSE)</f>
        <v>West</v>
      </c>
      <c r="L47" t="str">
        <f>VLOOKUP(C47,Customers!$A:$D,4,FALSE)</f>
        <v>Consumer</v>
      </c>
      <c r="M47" t="str">
        <f>VLOOKUP(C47,Customers!$A:$D,2,FALSE)</f>
        <v>Customer_50</v>
      </c>
    </row>
    <row r="48" spans="1:13" x14ac:dyDescent="0.25">
      <c r="A48" t="s">
        <v>92</v>
      </c>
      <c r="B48" s="1">
        <v>45932</v>
      </c>
      <c r="C48" t="s">
        <v>38</v>
      </c>
      <c r="D48" t="s">
        <v>13</v>
      </c>
      <c r="E48">
        <v>1788.17</v>
      </c>
      <c r="F48">
        <v>9</v>
      </c>
      <c r="G48">
        <v>339.54</v>
      </c>
      <c r="H48">
        <v>0.15</v>
      </c>
      <c r="I48" s="2">
        <f t="shared" si="0"/>
        <v>0.18988127527024837</v>
      </c>
      <c r="J48">
        <f t="shared" si="2"/>
        <v>2723.9254807692314</v>
      </c>
      <c r="K48" t="str">
        <f>VLOOKUP(C48,Customers!A:D,3,FALSE)</f>
        <v>West</v>
      </c>
      <c r="L48" t="str">
        <f>VLOOKUP(C48,Customers!$A:$D,4,FALSE)</f>
        <v>Home Office</v>
      </c>
      <c r="M48" t="str">
        <f>VLOOKUP(C48,Customers!$A:$D,2,FALSE)</f>
        <v>Customer_22</v>
      </c>
    </row>
    <row r="49" spans="1:13" x14ac:dyDescent="0.25">
      <c r="A49" t="s">
        <v>93</v>
      </c>
      <c r="B49" s="1">
        <v>45793</v>
      </c>
      <c r="C49" t="s">
        <v>94</v>
      </c>
      <c r="D49" t="s">
        <v>13</v>
      </c>
      <c r="E49">
        <v>620.94000000000005</v>
      </c>
      <c r="F49">
        <v>5</v>
      </c>
      <c r="G49">
        <v>114.97</v>
      </c>
      <c r="H49">
        <v>0.05</v>
      </c>
      <c r="I49" s="2">
        <f t="shared" si="0"/>
        <v>0.18515476535575093</v>
      </c>
      <c r="J49">
        <f t="shared" si="2"/>
        <v>2733.0104854368938</v>
      </c>
      <c r="K49" t="str">
        <f>VLOOKUP(C49,Customers!A:D,3,FALSE)</f>
        <v>South</v>
      </c>
      <c r="L49" t="str">
        <f>VLOOKUP(C49,Customers!$A:$D,4,FALSE)</f>
        <v>Consumer</v>
      </c>
      <c r="M49" t="str">
        <f>VLOOKUP(C49,Customers!$A:$D,2,FALSE)</f>
        <v>Customer_3</v>
      </c>
    </row>
    <row r="50" spans="1:13" x14ac:dyDescent="0.25">
      <c r="A50" t="s">
        <v>95</v>
      </c>
      <c r="B50" s="1">
        <v>45919</v>
      </c>
      <c r="C50" t="s">
        <v>19</v>
      </c>
      <c r="D50" t="s">
        <v>47</v>
      </c>
      <c r="E50">
        <v>3003.03</v>
      </c>
      <c r="F50">
        <v>6</v>
      </c>
      <c r="G50">
        <v>417.72</v>
      </c>
      <c r="H50">
        <v>0.1</v>
      </c>
      <c r="I50" s="2">
        <f t="shared" si="0"/>
        <v>0.13909950949540964</v>
      </c>
      <c r="J50">
        <f t="shared" si="2"/>
        <v>2753.7170588235299</v>
      </c>
      <c r="K50" t="str">
        <f>VLOOKUP(C50,Customers!A:D,3,FALSE)</f>
        <v>South</v>
      </c>
      <c r="L50" t="str">
        <f>VLOOKUP(C50,Customers!$A:$D,4,FALSE)</f>
        <v>Consumer</v>
      </c>
      <c r="M50" t="str">
        <f>VLOOKUP(C50,Customers!$A:$D,2,FALSE)</f>
        <v>Customer_8</v>
      </c>
    </row>
    <row r="51" spans="1:13" x14ac:dyDescent="0.25">
      <c r="A51" t="s">
        <v>96</v>
      </c>
      <c r="B51" s="1">
        <v>45881</v>
      </c>
      <c r="C51" t="s">
        <v>17</v>
      </c>
      <c r="D51" t="s">
        <v>10</v>
      </c>
      <c r="E51">
        <v>4502.55</v>
      </c>
      <c r="F51">
        <v>4</v>
      </c>
      <c r="G51">
        <v>185.04</v>
      </c>
      <c r="H51">
        <v>0.1</v>
      </c>
      <c r="I51" s="2">
        <f t="shared" si="0"/>
        <v>4.1096711863277471E-2</v>
      </c>
      <c r="J51">
        <f t="shared" si="2"/>
        <v>2751.2486138613867</v>
      </c>
      <c r="K51" t="str">
        <f>VLOOKUP(C51,Customers!A:D,3,FALSE)</f>
        <v>North</v>
      </c>
      <c r="L51" t="str">
        <f>VLOOKUP(C51,Customers!$A:$D,4,FALSE)</f>
        <v>Consumer</v>
      </c>
      <c r="M51" t="str">
        <f>VLOOKUP(C51,Customers!$A:$D,2,FALSE)</f>
        <v>Customer_1</v>
      </c>
    </row>
    <row r="52" spans="1:13" x14ac:dyDescent="0.25">
      <c r="A52" t="s">
        <v>97</v>
      </c>
      <c r="B52" s="1">
        <v>45693</v>
      </c>
      <c r="C52" t="s">
        <v>98</v>
      </c>
      <c r="D52" t="s">
        <v>20</v>
      </c>
      <c r="E52">
        <v>4631.6000000000004</v>
      </c>
      <c r="F52">
        <v>9</v>
      </c>
      <c r="G52">
        <v>607</v>
      </c>
      <c r="H52">
        <v>0.05</v>
      </c>
      <c r="I52" s="2">
        <f t="shared" si="0"/>
        <v>0.13105622247171603</v>
      </c>
      <c r="J52">
        <f t="shared" si="2"/>
        <v>2733.7356000000004</v>
      </c>
      <c r="K52" t="str">
        <f>VLOOKUP(C52,Customers!A:D,3,FALSE)</f>
        <v>East</v>
      </c>
      <c r="L52" t="str">
        <f>VLOOKUP(C52,Customers!$A:$D,4,FALSE)</f>
        <v>Consumer</v>
      </c>
      <c r="M52" t="str">
        <f>VLOOKUP(C52,Customers!$A:$D,2,FALSE)</f>
        <v>Customer_43</v>
      </c>
    </row>
    <row r="53" spans="1:13" x14ac:dyDescent="0.25">
      <c r="A53" t="s">
        <v>99</v>
      </c>
      <c r="B53" s="1">
        <v>45999</v>
      </c>
      <c r="C53" t="s">
        <v>84</v>
      </c>
      <c r="D53" t="s">
        <v>20</v>
      </c>
      <c r="E53">
        <v>3134.62</v>
      </c>
      <c r="F53">
        <v>2</v>
      </c>
      <c r="G53">
        <v>491.45</v>
      </c>
      <c r="H53">
        <v>0.1</v>
      </c>
      <c r="I53" s="2">
        <f t="shared" si="0"/>
        <v>0.15678136424829803</v>
      </c>
      <c r="J53">
        <f t="shared" si="2"/>
        <v>2714.5652525252526</v>
      </c>
      <c r="K53" t="str">
        <f>VLOOKUP(C53,Customers!A:D,3,FALSE)</f>
        <v>South</v>
      </c>
      <c r="L53" t="str">
        <f>VLOOKUP(C53,Customers!$A:$D,4,FALSE)</f>
        <v>Home Office</v>
      </c>
      <c r="M53" t="str">
        <f>VLOOKUP(C53,Customers!$A:$D,2,FALSE)</f>
        <v>Customer_27</v>
      </c>
    </row>
    <row r="54" spans="1:13" x14ac:dyDescent="0.25">
      <c r="A54" t="s">
        <v>100</v>
      </c>
      <c r="B54" s="1">
        <v>45873</v>
      </c>
      <c r="C54" t="s">
        <v>98</v>
      </c>
      <c r="D54" t="s">
        <v>47</v>
      </c>
      <c r="E54">
        <v>2041.88</v>
      </c>
      <c r="F54">
        <v>5</v>
      </c>
      <c r="G54">
        <v>85.4</v>
      </c>
      <c r="H54">
        <v>0.2</v>
      </c>
      <c r="I54" s="2">
        <f t="shared" si="0"/>
        <v>4.1824201226320842E-2</v>
      </c>
      <c r="J54">
        <f t="shared" si="2"/>
        <v>2710.2789795918366</v>
      </c>
      <c r="K54" t="str">
        <f>VLOOKUP(C54,Customers!A:D,3,FALSE)</f>
        <v>East</v>
      </c>
      <c r="L54" t="str">
        <f>VLOOKUP(C54,Customers!$A:$D,4,FALSE)</f>
        <v>Consumer</v>
      </c>
      <c r="M54" t="str">
        <f>VLOOKUP(C54,Customers!$A:$D,2,FALSE)</f>
        <v>Customer_43</v>
      </c>
    </row>
    <row r="55" spans="1:13" x14ac:dyDescent="0.25">
      <c r="A55" t="s">
        <v>101</v>
      </c>
      <c r="B55" s="1">
        <v>45865</v>
      </c>
      <c r="C55" t="s">
        <v>102</v>
      </c>
      <c r="D55" t="s">
        <v>13</v>
      </c>
      <c r="E55">
        <v>3402.72</v>
      </c>
      <c r="F55">
        <v>3</v>
      </c>
      <c r="G55">
        <v>518.15</v>
      </c>
      <c r="H55">
        <v>0.2</v>
      </c>
      <c r="I55" s="2">
        <f t="shared" si="0"/>
        <v>0.15227523863262332</v>
      </c>
      <c r="J55">
        <f t="shared" si="2"/>
        <v>2717.1696907216492</v>
      </c>
      <c r="K55" t="str">
        <f>VLOOKUP(C55,Customers!A:D,3,FALSE)</f>
        <v>East</v>
      </c>
      <c r="L55" t="str">
        <f>VLOOKUP(C55,Customers!$A:$D,4,FALSE)</f>
        <v>Home Office</v>
      </c>
      <c r="M55" t="str">
        <f>VLOOKUP(C55,Customers!$A:$D,2,FALSE)</f>
        <v>Customer_36</v>
      </c>
    </row>
    <row r="56" spans="1:13" x14ac:dyDescent="0.25">
      <c r="A56" t="s">
        <v>103</v>
      </c>
      <c r="B56" s="1">
        <v>45968</v>
      </c>
      <c r="C56" t="s">
        <v>104</v>
      </c>
      <c r="D56" t="s">
        <v>20</v>
      </c>
      <c r="E56">
        <v>1554.18</v>
      </c>
      <c r="F56">
        <v>4</v>
      </c>
      <c r="G56">
        <v>336.39</v>
      </c>
      <c r="H56">
        <v>0.15</v>
      </c>
      <c r="I56" s="2">
        <f t="shared" si="0"/>
        <v>0.21644211095239932</v>
      </c>
      <c r="J56">
        <f t="shared" si="2"/>
        <v>2710.0285416666666</v>
      </c>
      <c r="K56" t="str">
        <f>VLOOKUP(C56,Customers!A:D,3,FALSE)</f>
        <v>South</v>
      </c>
      <c r="L56" t="str">
        <f>VLOOKUP(C56,Customers!$A:$D,4,FALSE)</f>
        <v>Home Office</v>
      </c>
      <c r="M56" t="str">
        <f>VLOOKUP(C56,Customers!$A:$D,2,FALSE)</f>
        <v>Customer_42</v>
      </c>
    </row>
    <row r="57" spans="1:13" x14ac:dyDescent="0.25">
      <c r="A57" t="s">
        <v>105</v>
      </c>
      <c r="B57" s="1">
        <v>45744</v>
      </c>
      <c r="C57" t="s">
        <v>98</v>
      </c>
      <c r="D57" t="s">
        <v>13</v>
      </c>
      <c r="E57">
        <v>2351.69</v>
      </c>
      <c r="F57">
        <v>8</v>
      </c>
      <c r="G57">
        <v>394.6</v>
      </c>
      <c r="H57">
        <v>0.05</v>
      </c>
      <c r="I57" s="2">
        <f t="shared" si="0"/>
        <v>0.16779422457891985</v>
      </c>
      <c r="J57">
        <f t="shared" si="2"/>
        <v>2722.1953684210521</v>
      </c>
      <c r="K57" t="str">
        <f>VLOOKUP(C57,Customers!A:D,3,FALSE)</f>
        <v>East</v>
      </c>
      <c r="L57" t="str">
        <f>VLOOKUP(C57,Customers!$A:$D,4,FALSE)</f>
        <v>Consumer</v>
      </c>
      <c r="M57" t="str">
        <f>VLOOKUP(C57,Customers!$A:$D,2,FALSE)</f>
        <v>Customer_43</v>
      </c>
    </row>
    <row r="58" spans="1:13" x14ac:dyDescent="0.25">
      <c r="A58" t="s">
        <v>106</v>
      </c>
      <c r="B58" s="1">
        <v>45778</v>
      </c>
      <c r="C58" t="s">
        <v>44</v>
      </c>
      <c r="D58" t="s">
        <v>20</v>
      </c>
      <c r="E58">
        <v>1454.74</v>
      </c>
      <c r="F58">
        <v>10</v>
      </c>
      <c r="G58">
        <v>77.61</v>
      </c>
      <c r="H58">
        <v>0.1</v>
      </c>
      <c r="I58" s="2">
        <f t="shared" si="0"/>
        <v>5.3349739472345573E-2</v>
      </c>
      <c r="J58">
        <f t="shared" si="2"/>
        <v>2726.1369148936164</v>
      </c>
      <c r="K58" t="str">
        <f>VLOOKUP(C58,Customers!A:D,3,FALSE)</f>
        <v>South</v>
      </c>
      <c r="L58" t="str">
        <f>VLOOKUP(C58,Customers!$A:$D,4,FALSE)</f>
        <v>Consumer</v>
      </c>
      <c r="M58" t="str">
        <f>VLOOKUP(C58,Customers!$A:$D,2,FALSE)</f>
        <v>Customer_44</v>
      </c>
    </row>
    <row r="59" spans="1:13" x14ac:dyDescent="0.25">
      <c r="A59" t="s">
        <v>107</v>
      </c>
      <c r="B59" s="1">
        <v>45783</v>
      </c>
      <c r="C59" t="s">
        <v>58</v>
      </c>
      <c r="D59" t="s">
        <v>10</v>
      </c>
      <c r="E59">
        <v>1161.97</v>
      </c>
      <c r="F59">
        <v>4</v>
      </c>
      <c r="G59">
        <v>53.57</v>
      </c>
      <c r="H59">
        <v>0.05</v>
      </c>
      <c r="I59" s="2">
        <f t="shared" si="0"/>
        <v>4.6102739313407401E-2</v>
      </c>
      <c r="J59">
        <f t="shared" si="2"/>
        <v>2739.8078494623655</v>
      </c>
      <c r="K59" t="str">
        <f>VLOOKUP(C59,Customers!A:D,3,FALSE)</f>
        <v>North</v>
      </c>
      <c r="L59" t="str">
        <f>VLOOKUP(C59,Customers!$A:$D,4,FALSE)</f>
        <v>Corporate</v>
      </c>
      <c r="M59" t="str">
        <f>VLOOKUP(C59,Customers!$A:$D,2,FALSE)</f>
        <v>Customer_31</v>
      </c>
    </row>
    <row r="60" spans="1:13" x14ac:dyDescent="0.25">
      <c r="A60" t="s">
        <v>108</v>
      </c>
      <c r="B60" s="1">
        <v>45980</v>
      </c>
      <c r="C60" t="s">
        <v>63</v>
      </c>
      <c r="D60" t="s">
        <v>23</v>
      </c>
      <c r="E60">
        <v>4256.2</v>
      </c>
      <c r="F60">
        <v>2</v>
      </c>
      <c r="G60">
        <v>526.11</v>
      </c>
      <c r="H60">
        <v>0.15</v>
      </c>
      <c r="I60" s="2">
        <f t="shared" si="0"/>
        <v>0.12361026267562615</v>
      </c>
      <c r="J60">
        <f t="shared" si="2"/>
        <v>2756.958260869565</v>
      </c>
      <c r="K60" t="str">
        <f>VLOOKUP(C60,Customers!A:D,3,FALSE)</f>
        <v>North</v>
      </c>
      <c r="L60" t="str">
        <f>VLOOKUP(C60,Customers!$A:$D,4,FALSE)</f>
        <v>Home Office</v>
      </c>
      <c r="M60" t="str">
        <f>VLOOKUP(C60,Customers!$A:$D,2,FALSE)</f>
        <v>Customer_37</v>
      </c>
    </row>
    <row r="61" spans="1:13" x14ac:dyDescent="0.25">
      <c r="A61" t="s">
        <v>109</v>
      </c>
      <c r="B61" s="1">
        <v>45733</v>
      </c>
      <c r="C61" t="s">
        <v>104</v>
      </c>
      <c r="D61" t="s">
        <v>13</v>
      </c>
      <c r="E61">
        <v>3605.81</v>
      </c>
      <c r="F61">
        <v>7</v>
      </c>
      <c r="G61">
        <v>432.38</v>
      </c>
      <c r="H61">
        <v>0.15</v>
      </c>
      <c r="I61" s="2">
        <f t="shared" si="0"/>
        <v>0.11991203086130439</v>
      </c>
      <c r="J61">
        <f t="shared" si="2"/>
        <v>2740.4830769230766</v>
      </c>
      <c r="K61" t="str">
        <f>VLOOKUP(C61,Customers!A:D,3,FALSE)</f>
        <v>South</v>
      </c>
      <c r="L61" t="str">
        <f>VLOOKUP(C61,Customers!$A:$D,4,FALSE)</f>
        <v>Home Office</v>
      </c>
      <c r="M61" t="str">
        <f>VLOOKUP(C61,Customers!$A:$D,2,FALSE)</f>
        <v>Customer_42</v>
      </c>
    </row>
    <row r="62" spans="1:13" x14ac:dyDescent="0.25">
      <c r="A62" t="s">
        <v>110</v>
      </c>
      <c r="B62" s="1">
        <v>46014</v>
      </c>
      <c r="C62" t="s">
        <v>70</v>
      </c>
      <c r="D62" t="s">
        <v>47</v>
      </c>
      <c r="E62">
        <v>4468.67</v>
      </c>
      <c r="F62">
        <v>2</v>
      </c>
      <c r="G62">
        <v>333.86</v>
      </c>
      <c r="H62">
        <v>0.15</v>
      </c>
      <c r="I62" s="2">
        <f t="shared" si="0"/>
        <v>7.471126755835629E-2</v>
      </c>
      <c r="J62">
        <f t="shared" si="2"/>
        <v>2730.8683333333329</v>
      </c>
      <c r="K62" t="str">
        <f>VLOOKUP(C62,Customers!A:D,3,FALSE)</f>
        <v>East</v>
      </c>
      <c r="L62" t="str">
        <f>VLOOKUP(C62,Customers!$A:$D,4,FALSE)</f>
        <v>Corporate</v>
      </c>
      <c r="M62" t="str">
        <f>VLOOKUP(C62,Customers!$A:$D,2,FALSE)</f>
        <v>Customer_34</v>
      </c>
    </row>
    <row r="63" spans="1:13" x14ac:dyDescent="0.25">
      <c r="A63" t="s">
        <v>111</v>
      </c>
      <c r="B63" s="1">
        <v>45895</v>
      </c>
      <c r="C63" t="s">
        <v>98</v>
      </c>
      <c r="D63" t="s">
        <v>10</v>
      </c>
      <c r="E63">
        <v>298.58</v>
      </c>
      <c r="F63">
        <v>4</v>
      </c>
      <c r="G63">
        <v>49</v>
      </c>
      <c r="H63">
        <v>0</v>
      </c>
      <c r="I63" s="2">
        <f t="shared" si="0"/>
        <v>0.16411012124053856</v>
      </c>
      <c r="J63">
        <f t="shared" si="2"/>
        <v>2711.3424719101113</v>
      </c>
      <c r="K63" t="str">
        <f>VLOOKUP(C63,Customers!A:D,3,FALSE)</f>
        <v>East</v>
      </c>
      <c r="L63" t="str">
        <f>VLOOKUP(C63,Customers!$A:$D,4,FALSE)</f>
        <v>Consumer</v>
      </c>
      <c r="M63" t="str">
        <f>VLOOKUP(C63,Customers!$A:$D,2,FALSE)</f>
        <v>Customer_43</v>
      </c>
    </row>
    <row r="64" spans="1:13" x14ac:dyDescent="0.25">
      <c r="A64" t="s">
        <v>112</v>
      </c>
      <c r="B64" s="1">
        <v>45884</v>
      </c>
      <c r="C64" t="s">
        <v>82</v>
      </c>
      <c r="D64" t="s">
        <v>10</v>
      </c>
      <c r="E64">
        <v>4940.07</v>
      </c>
      <c r="F64">
        <v>10</v>
      </c>
      <c r="G64">
        <v>1321.52</v>
      </c>
      <c r="H64">
        <v>0.1</v>
      </c>
      <c r="I64" s="2">
        <f t="shared" si="0"/>
        <v>0.26751037940757927</v>
      </c>
      <c r="J64">
        <f t="shared" si="2"/>
        <v>2738.7602272727268</v>
      </c>
      <c r="K64" t="str">
        <f>VLOOKUP(C64,Customers!A:D,3,FALSE)</f>
        <v>West</v>
      </c>
      <c r="L64" t="str">
        <f>VLOOKUP(C64,Customers!$A:$D,4,FALSE)</f>
        <v>Corporate</v>
      </c>
      <c r="M64" t="str">
        <f>VLOOKUP(C64,Customers!$A:$D,2,FALSE)</f>
        <v>Customer_40</v>
      </c>
    </row>
    <row r="65" spans="1:13" x14ac:dyDescent="0.25">
      <c r="A65" t="s">
        <v>113</v>
      </c>
      <c r="B65" s="1">
        <v>45901</v>
      </c>
      <c r="C65" t="s">
        <v>49</v>
      </c>
      <c r="D65" t="s">
        <v>20</v>
      </c>
      <c r="E65">
        <v>2162.37</v>
      </c>
      <c r="F65">
        <v>9</v>
      </c>
      <c r="G65">
        <v>528.27</v>
      </c>
      <c r="H65">
        <v>0.15</v>
      </c>
      <c r="I65" s="2">
        <f t="shared" si="0"/>
        <v>0.24430139152873931</v>
      </c>
      <c r="J65">
        <f t="shared" si="2"/>
        <v>2713.4578160919532</v>
      </c>
      <c r="K65" t="str">
        <f>VLOOKUP(C65,Customers!A:D,3,FALSE)</f>
        <v>South</v>
      </c>
      <c r="L65" t="str">
        <f>VLOOKUP(C65,Customers!$A:$D,4,FALSE)</f>
        <v>Corporate</v>
      </c>
      <c r="M65" t="str">
        <f>VLOOKUP(C65,Customers!$A:$D,2,FALSE)</f>
        <v>Customer_29</v>
      </c>
    </row>
    <row r="66" spans="1:13" x14ac:dyDescent="0.25">
      <c r="A66" t="s">
        <v>114</v>
      </c>
      <c r="B66" s="1">
        <v>45780</v>
      </c>
      <c r="C66" t="s">
        <v>86</v>
      </c>
      <c r="D66" t="s">
        <v>47</v>
      </c>
      <c r="E66">
        <v>3771.3</v>
      </c>
      <c r="F66">
        <v>5</v>
      </c>
      <c r="G66">
        <v>494.6</v>
      </c>
      <c r="H66">
        <v>0.2</v>
      </c>
      <c r="I66" s="2">
        <f t="shared" ref="I66:I129" si="3">G66/E66</f>
        <v>0.13114841036247449</v>
      </c>
      <c r="J66">
        <f t="shared" ref="J66:J97" si="4">SUM(E66:E215)/COUNTA(A66:A215)</f>
        <v>2719.8658139534873</v>
      </c>
      <c r="K66" t="str">
        <f>VLOOKUP(C66,Customers!A:D,3,FALSE)</f>
        <v>North</v>
      </c>
      <c r="L66" t="str">
        <f>VLOOKUP(C66,Customers!$A:$D,4,FALSE)</f>
        <v>Consumer</v>
      </c>
      <c r="M66" t="str">
        <f>VLOOKUP(C66,Customers!$A:$D,2,FALSE)</f>
        <v>Customer_18</v>
      </c>
    </row>
    <row r="67" spans="1:13" x14ac:dyDescent="0.25">
      <c r="A67" t="s">
        <v>115</v>
      </c>
      <c r="B67" s="1">
        <v>45821</v>
      </c>
      <c r="C67" t="s">
        <v>46</v>
      </c>
      <c r="D67" t="s">
        <v>13</v>
      </c>
      <c r="E67">
        <v>433.54</v>
      </c>
      <c r="F67">
        <v>5</v>
      </c>
      <c r="G67">
        <v>46.79</v>
      </c>
      <c r="H67">
        <v>0.05</v>
      </c>
      <c r="I67" s="2">
        <f t="shared" si="3"/>
        <v>0.10792545093878303</v>
      </c>
      <c r="J67">
        <f t="shared" si="4"/>
        <v>2707.4959999999992</v>
      </c>
      <c r="K67" t="str">
        <f>VLOOKUP(C67,Customers!A:D,3,FALSE)</f>
        <v>South</v>
      </c>
      <c r="L67" t="str">
        <f>VLOOKUP(C67,Customers!$A:$D,4,FALSE)</f>
        <v>Home Office</v>
      </c>
      <c r="M67" t="str">
        <f>VLOOKUP(C67,Customers!$A:$D,2,FALSE)</f>
        <v>Customer_35</v>
      </c>
    </row>
    <row r="68" spans="1:13" x14ac:dyDescent="0.25">
      <c r="A68" t="s">
        <v>116</v>
      </c>
      <c r="B68" s="1">
        <v>46019</v>
      </c>
      <c r="C68" t="s">
        <v>117</v>
      </c>
      <c r="D68" t="s">
        <v>13</v>
      </c>
      <c r="E68">
        <v>734.95</v>
      </c>
      <c r="F68">
        <v>4</v>
      </c>
      <c r="G68">
        <v>142.19999999999999</v>
      </c>
      <c r="H68">
        <v>0.15</v>
      </c>
      <c r="I68" s="2">
        <f t="shared" si="3"/>
        <v>0.19348254983332197</v>
      </c>
      <c r="J68">
        <f t="shared" si="4"/>
        <v>2734.5669047619035</v>
      </c>
      <c r="K68" t="str">
        <f>VLOOKUP(C68,Customers!A:D,3,FALSE)</f>
        <v>South</v>
      </c>
      <c r="L68" t="str">
        <f>VLOOKUP(C68,Customers!$A:$D,4,FALSE)</f>
        <v>Home Office</v>
      </c>
      <c r="M68" t="str">
        <f>VLOOKUP(C68,Customers!$A:$D,2,FALSE)</f>
        <v>Customer_14</v>
      </c>
    </row>
    <row r="69" spans="1:13" x14ac:dyDescent="0.25">
      <c r="A69" t="s">
        <v>118</v>
      </c>
      <c r="B69" s="1">
        <v>45689</v>
      </c>
      <c r="C69" t="s">
        <v>117</v>
      </c>
      <c r="D69" t="s">
        <v>47</v>
      </c>
      <c r="E69">
        <v>2103.6</v>
      </c>
      <c r="F69">
        <v>6</v>
      </c>
      <c r="G69">
        <v>266.07</v>
      </c>
      <c r="H69">
        <v>0.2</v>
      </c>
      <c r="I69" s="2">
        <f t="shared" si="3"/>
        <v>0.12648317170564746</v>
      </c>
      <c r="J69">
        <f t="shared" si="4"/>
        <v>2758.6586746987941</v>
      </c>
      <c r="K69" t="str">
        <f>VLOOKUP(C69,Customers!A:D,3,FALSE)</f>
        <v>South</v>
      </c>
      <c r="L69" t="str">
        <f>VLOOKUP(C69,Customers!$A:$D,4,FALSE)</f>
        <v>Home Office</v>
      </c>
      <c r="M69" t="str">
        <f>VLOOKUP(C69,Customers!$A:$D,2,FALSE)</f>
        <v>Customer_14</v>
      </c>
    </row>
    <row r="70" spans="1:13" x14ac:dyDescent="0.25">
      <c r="A70" t="s">
        <v>119</v>
      </c>
      <c r="B70" s="1">
        <v>45952</v>
      </c>
      <c r="C70" t="s">
        <v>53</v>
      </c>
      <c r="D70" t="s">
        <v>47</v>
      </c>
      <c r="E70">
        <v>1977.91</v>
      </c>
      <c r="F70">
        <v>10</v>
      </c>
      <c r="G70">
        <v>522.53</v>
      </c>
      <c r="H70">
        <v>0</v>
      </c>
      <c r="I70" s="2">
        <f t="shared" si="3"/>
        <v>0.26418290013195744</v>
      </c>
      <c r="J70">
        <f t="shared" si="4"/>
        <v>2766.6471951219501</v>
      </c>
      <c r="K70" t="str">
        <f>VLOOKUP(C70,Customers!A:D,3,FALSE)</f>
        <v>East</v>
      </c>
      <c r="L70" t="str">
        <f>VLOOKUP(C70,Customers!$A:$D,4,FALSE)</f>
        <v>Home Office</v>
      </c>
      <c r="M70" t="str">
        <f>VLOOKUP(C70,Customers!$A:$D,2,FALSE)</f>
        <v>Customer_25</v>
      </c>
    </row>
    <row r="71" spans="1:13" x14ac:dyDescent="0.25">
      <c r="A71" t="s">
        <v>120</v>
      </c>
      <c r="B71" s="1">
        <v>45872</v>
      </c>
      <c r="C71" t="s">
        <v>46</v>
      </c>
      <c r="D71" t="s">
        <v>10</v>
      </c>
      <c r="E71">
        <v>79.19</v>
      </c>
      <c r="F71">
        <v>6</v>
      </c>
      <c r="G71">
        <v>17.29</v>
      </c>
      <c r="H71">
        <v>0.1</v>
      </c>
      <c r="I71" s="2">
        <f t="shared" si="3"/>
        <v>0.21833564844045966</v>
      </c>
      <c r="J71">
        <f t="shared" si="4"/>
        <v>2776.3846913580237</v>
      </c>
      <c r="K71" t="str">
        <f>VLOOKUP(C71,Customers!A:D,3,FALSE)</f>
        <v>South</v>
      </c>
      <c r="L71" t="str">
        <f>VLOOKUP(C71,Customers!$A:$D,4,FALSE)</f>
        <v>Home Office</v>
      </c>
      <c r="M71" t="str">
        <f>VLOOKUP(C71,Customers!$A:$D,2,FALSE)</f>
        <v>Customer_35</v>
      </c>
    </row>
    <row r="72" spans="1:13" x14ac:dyDescent="0.25">
      <c r="A72" t="s">
        <v>121</v>
      </c>
      <c r="B72" s="1">
        <v>45881</v>
      </c>
      <c r="C72" t="s">
        <v>122</v>
      </c>
      <c r="D72" t="s">
        <v>13</v>
      </c>
      <c r="E72">
        <v>4009.35</v>
      </c>
      <c r="F72">
        <v>4</v>
      </c>
      <c r="G72">
        <v>300.12</v>
      </c>
      <c r="H72">
        <v>0.15</v>
      </c>
      <c r="I72" s="2">
        <f t="shared" si="3"/>
        <v>7.4855026375846456E-2</v>
      </c>
      <c r="J72">
        <f t="shared" si="4"/>
        <v>2810.0996249999989</v>
      </c>
      <c r="K72" t="str">
        <f>VLOOKUP(C72,Customers!A:D,3,FALSE)</f>
        <v>East</v>
      </c>
      <c r="L72" t="str">
        <f>VLOOKUP(C72,Customers!$A:$D,4,FALSE)</f>
        <v>Corporate</v>
      </c>
      <c r="M72" t="str">
        <f>VLOOKUP(C72,Customers!$A:$D,2,FALSE)</f>
        <v>Customer_32</v>
      </c>
    </row>
    <row r="73" spans="1:13" x14ac:dyDescent="0.25">
      <c r="A73" t="s">
        <v>123</v>
      </c>
      <c r="B73" s="1">
        <v>45723</v>
      </c>
      <c r="C73" t="s">
        <v>82</v>
      </c>
      <c r="D73" t="s">
        <v>10</v>
      </c>
      <c r="E73">
        <v>1974.84</v>
      </c>
      <c r="F73">
        <v>7</v>
      </c>
      <c r="G73">
        <v>493.96</v>
      </c>
      <c r="H73">
        <v>0.05</v>
      </c>
      <c r="I73" s="2">
        <f t="shared" si="3"/>
        <v>0.25012659253407871</v>
      </c>
      <c r="J73">
        <f t="shared" si="4"/>
        <v>2794.9192405063282</v>
      </c>
      <c r="K73" t="str">
        <f>VLOOKUP(C73,Customers!A:D,3,FALSE)</f>
        <v>West</v>
      </c>
      <c r="L73" t="str">
        <f>VLOOKUP(C73,Customers!$A:$D,4,FALSE)</f>
        <v>Corporate</v>
      </c>
      <c r="M73" t="str">
        <f>VLOOKUP(C73,Customers!$A:$D,2,FALSE)</f>
        <v>Customer_40</v>
      </c>
    </row>
    <row r="74" spans="1:13" x14ac:dyDescent="0.25">
      <c r="A74" t="s">
        <v>124</v>
      </c>
      <c r="B74" s="1">
        <v>45671</v>
      </c>
      <c r="C74" t="s">
        <v>60</v>
      </c>
      <c r="D74" t="s">
        <v>47</v>
      </c>
      <c r="E74">
        <v>183.48</v>
      </c>
      <c r="F74">
        <v>7</v>
      </c>
      <c r="G74">
        <v>27.72</v>
      </c>
      <c r="H74">
        <v>0.2</v>
      </c>
      <c r="I74" s="2">
        <f t="shared" si="3"/>
        <v>0.15107913669064749</v>
      </c>
      <c r="J74">
        <f t="shared" si="4"/>
        <v>2805.433076923076</v>
      </c>
      <c r="K74" t="str">
        <f>VLOOKUP(C74,Customers!A:D,3,FALSE)</f>
        <v>West</v>
      </c>
      <c r="L74" t="str">
        <f>VLOOKUP(C74,Customers!$A:$D,4,FALSE)</f>
        <v>Consumer</v>
      </c>
      <c r="M74" t="str">
        <f>VLOOKUP(C74,Customers!$A:$D,2,FALSE)</f>
        <v>Customer_6</v>
      </c>
    </row>
    <row r="75" spans="1:13" x14ac:dyDescent="0.25">
      <c r="A75" t="s">
        <v>125</v>
      </c>
      <c r="B75" s="1">
        <v>45852</v>
      </c>
      <c r="C75" t="s">
        <v>126</v>
      </c>
      <c r="D75" t="s">
        <v>23</v>
      </c>
      <c r="E75">
        <v>721.71</v>
      </c>
      <c r="F75">
        <v>8</v>
      </c>
      <c r="G75">
        <v>37.94</v>
      </c>
      <c r="H75">
        <v>0.05</v>
      </c>
      <c r="I75" s="2">
        <f t="shared" si="3"/>
        <v>5.2569591664241862E-2</v>
      </c>
      <c r="J75">
        <f t="shared" si="4"/>
        <v>2839.4844155844148</v>
      </c>
      <c r="K75" t="str">
        <f>VLOOKUP(C75,Customers!A:D,3,FALSE)</f>
        <v>East</v>
      </c>
      <c r="L75" t="str">
        <f>VLOOKUP(C75,Customers!$A:$D,4,FALSE)</f>
        <v>Consumer</v>
      </c>
      <c r="M75" t="str">
        <f>VLOOKUP(C75,Customers!$A:$D,2,FALSE)</f>
        <v>Customer_21</v>
      </c>
    </row>
    <row r="76" spans="1:13" x14ac:dyDescent="0.25">
      <c r="A76" t="s">
        <v>127</v>
      </c>
      <c r="B76" s="1">
        <v>45873</v>
      </c>
      <c r="C76" t="s">
        <v>31</v>
      </c>
      <c r="D76" t="s">
        <v>13</v>
      </c>
      <c r="E76">
        <v>2300.7600000000002</v>
      </c>
      <c r="F76">
        <v>6</v>
      </c>
      <c r="G76">
        <v>206.07</v>
      </c>
      <c r="H76">
        <v>0.15</v>
      </c>
      <c r="I76" s="2">
        <f t="shared" si="3"/>
        <v>8.9566056433526303E-2</v>
      </c>
      <c r="J76">
        <f t="shared" si="4"/>
        <v>2867.3498684210517</v>
      </c>
      <c r="K76" t="str">
        <f>VLOOKUP(C76,Customers!A:D,3,FALSE)</f>
        <v>South</v>
      </c>
      <c r="L76" t="str">
        <f>VLOOKUP(C76,Customers!$A:$D,4,FALSE)</f>
        <v>Corporate</v>
      </c>
      <c r="M76" t="str">
        <f>VLOOKUP(C76,Customers!$A:$D,2,FALSE)</f>
        <v>Customer_17</v>
      </c>
    </row>
    <row r="77" spans="1:13" x14ac:dyDescent="0.25">
      <c r="A77" t="s">
        <v>128</v>
      </c>
      <c r="B77" s="1">
        <v>45837</v>
      </c>
      <c r="C77" t="s">
        <v>88</v>
      </c>
      <c r="D77" t="s">
        <v>13</v>
      </c>
      <c r="E77">
        <v>2378.02</v>
      </c>
      <c r="F77">
        <v>9</v>
      </c>
      <c r="G77">
        <v>713.35</v>
      </c>
      <c r="H77">
        <v>0</v>
      </c>
      <c r="I77" s="2">
        <f t="shared" si="3"/>
        <v>0.29997645099704795</v>
      </c>
      <c r="J77">
        <f t="shared" si="4"/>
        <v>2874.904399999999</v>
      </c>
      <c r="K77" t="str">
        <f>VLOOKUP(C77,Customers!A:D,3,FALSE)</f>
        <v>West</v>
      </c>
      <c r="L77" t="str">
        <f>VLOOKUP(C77,Customers!$A:$D,4,FALSE)</f>
        <v>Corporate</v>
      </c>
      <c r="M77" t="str">
        <f>VLOOKUP(C77,Customers!$A:$D,2,FALSE)</f>
        <v>Customer_15</v>
      </c>
    </row>
    <row r="78" spans="1:13" x14ac:dyDescent="0.25">
      <c r="A78" t="s">
        <v>129</v>
      </c>
      <c r="B78" s="1">
        <v>45760</v>
      </c>
      <c r="C78" t="s">
        <v>130</v>
      </c>
      <c r="D78" t="s">
        <v>10</v>
      </c>
      <c r="E78">
        <v>3917.1</v>
      </c>
      <c r="F78">
        <v>1</v>
      </c>
      <c r="G78">
        <v>1125.79</v>
      </c>
      <c r="H78">
        <v>0</v>
      </c>
      <c r="I78" s="2">
        <f t="shared" si="3"/>
        <v>0.28740394679737563</v>
      </c>
      <c r="J78">
        <f t="shared" si="4"/>
        <v>2881.6190540540533</v>
      </c>
      <c r="K78" t="str">
        <f>VLOOKUP(C78,Customers!A:D,3,FALSE)</f>
        <v>East</v>
      </c>
      <c r="L78" t="str">
        <f>VLOOKUP(C78,Customers!$A:$D,4,FALSE)</f>
        <v>Consumer</v>
      </c>
      <c r="M78" t="str">
        <f>VLOOKUP(C78,Customers!$A:$D,2,FALSE)</f>
        <v>Customer_2</v>
      </c>
    </row>
    <row r="79" spans="1:13" x14ac:dyDescent="0.25">
      <c r="A79" t="s">
        <v>131</v>
      </c>
      <c r="B79" s="1">
        <v>45946</v>
      </c>
      <c r="C79" t="s">
        <v>117</v>
      </c>
      <c r="D79" t="s">
        <v>47</v>
      </c>
      <c r="E79">
        <v>804.29</v>
      </c>
      <c r="F79">
        <v>3</v>
      </c>
      <c r="G79">
        <v>150.69999999999999</v>
      </c>
      <c r="H79">
        <v>0.15</v>
      </c>
      <c r="I79" s="2">
        <f t="shared" si="3"/>
        <v>0.18737022715687127</v>
      </c>
      <c r="J79">
        <f t="shared" si="4"/>
        <v>2867.4343835616428</v>
      </c>
      <c r="K79" t="str">
        <f>VLOOKUP(C79,Customers!A:D,3,FALSE)</f>
        <v>South</v>
      </c>
      <c r="L79" t="str">
        <f>VLOOKUP(C79,Customers!$A:$D,4,FALSE)</f>
        <v>Home Office</v>
      </c>
      <c r="M79" t="str">
        <f>VLOOKUP(C79,Customers!$A:$D,2,FALSE)</f>
        <v>Customer_14</v>
      </c>
    </row>
    <row r="80" spans="1:13" x14ac:dyDescent="0.25">
      <c r="A80" t="s">
        <v>132</v>
      </c>
      <c r="B80" s="1">
        <v>45716</v>
      </c>
      <c r="C80" t="s">
        <v>91</v>
      </c>
      <c r="D80" t="s">
        <v>23</v>
      </c>
      <c r="E80">
        <v>3512.35</v>
      </c>
      <c r="F80">
        <v>6</v>
      </c>
      <c r="G80">
        <v>672.52</v>
      </c>
      <c r="H80">
        <v>0.05</v>
      </c>
      <c r="I80" s="2">
        <f t="shared" si="3"/>
        <v>0.19147294546386323</v>
      </c>
      <c r="J80">
        <f t="shared" si="4"/>
        <v>2896.0891666666662</v>
      </c>
      <c r="K80" t="str">
        <f>VLOOKUP(C80,Customers!A:D,3,FALSE)</f>
        <v>West</v>
      </c>
      <c r="L80" t="str">
        <f>VLOOKUP(C80,Customers!$A:$D,4,FALSE)</f>
        <v>Consumer</v>
      </c>
      <c r="M80" t="str">
        <f>VLOOKUP(C80,Customers!$A:$D,2,FALSE)</f>
        <v>Customer_50</v>
      </c>
    </row>
    <row r="81" spans="1:13" x14ac:dyDescent="0.25">
      <c r="A81" t="s">
        <v>133</v>
      </c>
      <c r="B81" s="1">
        <v>45817</v>
      </c>
      <c r="C81" t="s">
        <v>63</v>
      </c>
      <c r="D81" t="s">
        <v>47</v>
      </c>
      <c r="E81">
        <v>4825.37</v>
      </c>
      <c r="F81">
        <v>2</v>
      </c>
      <c r="G81">
        <v>79.23</v>
      </c>
      <c r="H81">
        <v>0.2</v>
      </c>
      <c r="I81" s="2">
        <f t="shared" si="3"/>
        <v>1.6419466279269778E-2</v>
      </c>
      <c r="J81">
        <f t="shared" si="4"/>
        <v>2887.4094366197178</v>
      </c>
      <c r="K81" t="str">
        <f>VLOOKUP(C81,Customers!A:D,3,FALSE)</f>
        <v>North</v>
      </c>
      <c r="L81" t="str">
        <f>VLOOKUP(C81,Customers!$A:$D,4,FALSE)</f>
        <v>Home Office</v>
      </c>
      <c r="M81" t="str">
        <f>VLOOKUP(C81,Customers!$A:$D,2,FALSE)</f>
        <v>Customer_37</v>
      </c>
    </row>
    <row r="82" spans="1:13" x14ac:dyDescent="0.25">
      <c r="A82" t="s">
        <v>134</v>
      </c>
      <c r="B82" s="1">
        <v>45979</v>
      </c>
      <c r="C82" t="s">
        <v>27</v>
      </c>
      <c r="D82" t="s">
        <v>13</v>
      </c>
      <c r="E82">
        <v>2013.44</v>
      </c>
      <c r="F82">
        <v>4</v>
      </c>
      <c r="G82">
        <v>398.71</v>
      </c>
      <c r="H82">
        <v>0</v>
      </c>
      <c r="I82" s="2">
        <f t="shared" si="3"/>
        <v>0.19802427685950411</v>
      </c>
      <c r="J82">
        <f t="shared" si="4"/>
        <v>2859.7242857142851</v>
      </c>
      <c r="K82" t="str">
        <f>VLOOKUP(C82,Customers!A:D,3,FALSE)</f>
        <v>East</v>
      </c>
      <c r="L82" t="str">
        <f>VLOOKUP(C82,Customers!$A:$D,4,FALSE)</f>
        <v>Consumer</v>
      </c>
      <c r="M82" t="str">
        <f>VLOOKUP(C82,Customers!$A:$D,2,FALSE)</f>
        <v>Customer_16</v>
      </c>
    </row>
    <row r="83" spans="1:13" x14ac:dyDescent="0.25">
      <c r="A83" t="s">
        <v>135</v>
      </c>
      <c r="B83" s="1">
        <v>45947</v>
      </c>
      <c r="C83" t="s">
        <v>94</v>
      </c>
      <c r="D83" t="s">
        <v>20</v>
      </c>
      <c r="E83">
        <v>3501.11</v>
      </c>
      <c r="F83">
        <v>5</v>
      </c>
      <c r="G83">
        <v>740.07</v>
      </c>
      <c r="H83">
        <v>0.2</v>
      </c>
      <c r="I83" s="2">
        <f t="shared" si="3"/>
        <v>0.21138153328515813</v>
      </c>
      <c r="J83">
        <f t="shared" si="4"/>
        <v>2871.989275362318</v>
      </c>
      <c r="K83" t="str">
        <f>VLOOKUP(C83,Customers!A:D,3,FALSE)</f>
        <v>South</v>
      </c>
      <c r="L83" t="str">
        <f>VLOOKUP(C83,Customers!$A:$D,4,FALSE)</f>
        <v>Consumer</v>
      </c>
      <c r="M83" t="str">
        <f>VLOOKUP(C83,Customers!$A:$D,2,FALSE)</f>
        <v>Customer_3</v>
      </c>
    </row>
    <row r="84" spans="1:13" x14ac:dyDescent="0.25">
      <c r="A84" t="s">
        <v>136</v>
      </c>
      <c r="B84" s="1">
        <v>45832</v>
      </c>
      <c r="C84" t="s">
        <v>17</v>
      </c>
      <c r="D84" t="s">
        <v>47</v>
      </c>
      <c r="E84">
        <v>2687.09</v>
      </c>
      <c r="F84">
        <v>6</v>
      </c>
      <c r="G84">
        <v>474.25</v>
      </c>
      <c r="H84">
        <v>0</v>
      </c>
      <c r="I84" s="2">
        <f t="shared" si="3"/>
        <v>0.17649204157657539</v>
      </c>
      <c r="J84">
        <f t="shared" si="4"/>
        <v>2862.7374999999993</v>
      </c>
      <c r="K84" t="str">
        <f>VLOOKUP(C84,Customers!A:D,3,FALSE)</f>
        <v>North</v>
      </c>
      <c r="L84" t="str">
        <f>VLOOKUP(C84,Customers!$A:$D,4,FALSE)</f>
        <v>Consumer</v>
      </c>
      <c r="M84" t="str">
        <f>VLOOKUP(C84,Customers!$A:$D,2,FALSE)</f>
        <v>Customer_1</v>
      </c>
    </row>
    <row r="85" spans="1:13" x14ac:dyDescent="0.25">
      <c r="A85" t="s">
        <v>137</v>
      </c>
      <c r="B85" s="1">
        <v>45983</v>
      </c>
      <c r="C85" t="s">
        <v>138</v>
      </c>
      <c r="D85" t="s">
        <v>23</v>
      </c>
      <c r="E85">
        <v>4120.54</v>
      </c>
      <c r="F85">
        <v>2</v>
      </c>
      <c r="G85">
        <v>1072.1500000000001</v>
      </c>
      <c r="H85">
        <v>0.15</v>
      </c>
      <c r="I85" s="2">
        <f t="shared" si="3"/>
        <v>0.26019647910225363</v>
      </c>
      <c r="J85">
        <f t="shared" si="4"/>
        <v>2865.3591044776113</v>
      </c>
      <c r="K85" t="str">
        <f>VLOOKUP(C85,Customers!A:D,3,FALSE)</f>
        <v>North</v>
      </c>
      <c r="L85" t="str">
        <f>VLOOKUP(C85,Customers!$A:$D,4,FALSE)</f>
        <v>Consumer</v>
      </c>
      <c r="M85" t="str">
        <f>VLOOKUP(C85,Customers!$A:$D,2,FALSE)</f>
        <v>Customer_30</v>
      </c>
    </row>
    <row r="86" spans="1:13" x14ac:dyDescent="0.25">
      <c r="A86" t="s">
        <v>139</v>
      </c>
      <c r="B86" s="1">
        <v>45933</v>
      </c>
      <c r="C86" t="s">
        <v>91</v>
      </c>
      <c r="D86" t="s">
        <v>47</v>
      </c>
      <c r="E86">
        <v>2205.66</v>
      </c>
      <c r="F86">
        <v>9</v>
      </c>
      <c r="G86">
        <v>405.79</v>
      </c>
      <c r="H86">
        <v>0.1</v>
      </c>
      <c r="I86" s="2">
        <f t="shared" si="3"/>
        <v>0.18397667818249416</v>
      </c>
      <c r="J86">
        <f t="shared" si="4"/>
        <v>2846.3412121212114</v>
      </c>
      <c r="K86" t="str">
        <f>VLOOKUP(C86,Customers!A:D,3,FALSE)</f>
        <v>West</v>
      </c>
      <c r="L86" t="str">
        <f>VLOOKUP(C86,Customers!$A:$D,4,FALSE)</f>
        <v>Consumer</v>
      </c>
      <c r="M86" t="str">
        <f>VLOOKUP(C86,Customers!$A:$D,2,FALSE)</f>
        <v>Customer_50</v>
      </c>
    </row>
    <row r="87" spans="1:13" x14ac:dyDescent="0.25">
      <c r="A87" t="s">
        <v>140</v>
      </c>
      <c r="B87" s="1">
        <v>45783</v>
      </c>
      <c r="C87" t="s">
        <v>60</v>
      </c>
      <c r="D87" t="s">
        <v>20</v>
      </c>
      <c r="E87">
        <v>2351.13</v>
      </c>
      <c r="F87">
        <v>10</v>
      </c>
      <c r="G87">
        <v>259.98</v>
      </c>
      <c r="H87">
        <v>0.1</v>
      </c>
      <c r="I87" s="2">
        <f t="shared" si="3"/>
        <v>0.11057661635043575</v>
      </c>
      <c r="J87">
        <f t="shared" si="4"/>
        <v>2856.1978461538461</v>
      </c>
      <c r="K87" t="str">
        <f>VLOOKUP(C87,Customers!A:D,3,FALSE)</f>
        <v>West</v>
      </c>
      <c r="L87" t="str">
        <f>VLOOKUP(C87,Customers!$A:$D,4,FALSE)</f>
        <v>Consumer</v>
      </c>
      <c r="M87" t="str">
        <f>VLOOKUP(C87,Customers!$A:$D,2,FALSE)</f>
        <v>Customer_6</v>
      </c>
    </row>
    <row r="88" spans="1:13" x14ac:dyDescent="0.25">
      <c r="A88" t="s">
        <v>141</v>
      </c>
      <c r="B88" s="1">
        <v>46000</v>
      </c>
      <c r="C88" t="s">
        <v>53</v>
      </c>
      <c r="D88" t="s">
        <v>20</v>
      </c>
      <c r="E88">
        <v>4414.07</v>
      </c>
      <c r="F88">
        <v>4</v>
      </c>
      <c r="G88">
        <v>717.12</v>
      </c>
      <c r="H88">
        <v>0.15</v>
      </c>
      <c r="I88" s="2">
        <f t="shared" si="3"/>
        <v>0.16246230802864478</v>
      </c>
      <c r="J88">
        <f t="shared" si="4"/>
        <v>2864.0895312500002</v>
      </c>
      <c r="K88" t="str">
        <f>VLOOKUP(C88,Customers!A:D,3,FALSE)</f>
        <v>East</v>
      </c>
      <c r="L88" t="str">
        <f>VLOOKUP(C88,Customers!$A:$D,4,FALSE)</f>
        <v>Home Office</v>
      </c>
      <c r="M88" t="str">
        <f>VLOOKUP(C88,Customers!$A:$D,2,FALSE)</f>
        <v>Customer_25</v>
      </c>
    </row>
    <row r="89" spans="1:13" x14ac:dyDescent="0.25">
      <c r="A89" t="s">
        <v>142</v>
      </c>
      <c r="B89" s="1">
        <v>45839</v>
      </c>
      <c r="C89" t="s">
        <v>31</v>
      </c>
      <c r="D89" t="s">
        <v>20</v>
      </c>
      <c r="E89">
        <v>192.06</v>
      </c>
      <c r="F89">
        <v>6</v>
      </c>
      <c r="G89">
        <v>31.09</v>
      </c>
      <c r="H89">
        <v>0.05</v>
      </c>
      <c r="I89" s="2">
        <f t="shared" si="3"/>
        <v>0.16187649692804332</v>
      </c>
      <c r="J89">
        <f t="shared" si="4"/>
        <v>2839.4866666666667</v>
      </c>
      <c r="K89" t="str">
        <f>VLOOKUP(C89,Customers!A:D,3,FALSE)</f>
        <v>South</v>
      </c>
      <c r="L89" t="str">
        <f>VLOOKUP(C89,Customers!$A:$D,4,FALSE)</f>
        <v>Corporate</v>
      </c>
      <c r="M89" t="str">
        <f>VLOOKUP(C89,Customers!$A:$D,2,FALSE)</f>
        <v>Customer_17</v>
      </c>
    </row>
    <row r="90" spans="1:13" x14ac:dyDescent="0.25">
      <c r="A90" t="s">
        <v>143</v>
      </c>
      <c r="B90" s="1">
        <v>45922</v>
      </c>
      <c r="C90" t="s">
        <v>33</v>
      </c>
      <c r="D90" t="s">
        <v>13</v>
      </c>
      <c r="E90">
        <v>1434.31</v>
      </c>
      <c r="F90">
        <v>10</v>
      </c>
      <c r="G90">
        <v>242.32</v>
      </c>
      <c r="H90">
        <v>0.1</v>
      </c>
      <c r="I90" s="2">
        <f t="shared" si="3"/>
        <v>0.16894534654293702</v>
      </c>
      <c r="J90">
        <f t="shared" si="4"/>
        <v>2882.1870967741938</v>
      </c>
      <c r="K90" t="str">
        <f>VLOOKUP(C90,Customers!A:D,3,FALSE)</f>
        <v>East</v>
      </c>
      <c r="L90" t="str">
        <f>VLOOKUP(C90,Customers!$A:$D,4,FALSE)</f>
        <v>Consumer</v>
      </c>
      <c r="M90" t="str">
        <f>VLOOKUP(C90,Customers!$A:$D,2,FALSE)</f>
        <v>Customer_13</v>
      </c>
    </row>
    <row r="91" spans="1:13" x14ac:dyDescent="0.25">
      <c r="A91" t="s">
        <v>144</v>
      </c>
      <c r="B91" s="1">
        <v>45781</v>
      </c>
      <c r="C91" t="s">
        <v>145</v>
      </c>
      <c r="D91" t="s">
        <v>47</v>
      </c>
      <c r="E91">
        <v>1244.71</v>
      </c>
      <c r="F91">
        <v>7</v>
      </c>
      <c r="G91">
        <v>197.65</v>
      </c>
      <c r="H91">
        <v>0.15</v>
      </c>
      <c r="I91" s="2">
        <f t="shared" si="3"/>
        <v>0.15879200777691188</v>
      </c>
      <c r="J91">
        <f t="shared" si="4"/>
        <v>2905.9227868852458</v>
      </c>
      <c r="K91" t="str">
        <f>VLOOKUP(C91,Customers!A:D,3,FALSE)</f>
        <v>East</v>
      </c>
      <c r="L91" t="str">
        <f>VLOOKUP(C91,Customers!$A:$D,4,FALSE)</f>
        <v>Corporate</v>
      </c>
      <c r="M91" t="str">
        <f>VLOOKUP(C91,Customers!$A:$D,2,FALSE)</f>
        <v>Customer_45</v>
      </c>
    </row>
    <row r="92" spans="1:13" x14ac:dyDescent="0.25">
      <c r="A92" t="s">
        <v>146</v>
      </c>
      <c r="B92" s="1">
        <v>45705</v>
      </c>
      <c r="C92" t="s">
        <v>68</v>
      </c>
      <c r="D92" t="s">
        <v>23</v>
      </c>
      <c r="E92">
        <v>3247.22</v>
      </c>
      <c r="F92">
        <v>8</v>
      </c>
      <c r="G92">
        <v>708.65</v>
      </c>
      <c r="H92">
        <v>0.15</v>
      </c>
      <c r="I92" s="2">
        <f t="shared" si="3"/>
        <v>0.21823282684881223</v>
      </c>
      <c r="J92">
        <f t="shared" si="4"/>
        <v>2933.6096666666667</v>
      </c>
      <c r="K92" t="str">
        <f>VLOOKUP(C92,Customers!A:D,3,FALSE)</f>
        <v>West</v>
      </c>
      <c r="L92" t="str">
        <f>VLOOKUP(C92,Customers!$A:$D,4,FALSE)</f>
        <v>Consumer</v>
      </c>
      <c r="M92" t="str">
        <f>VLOOKUP(C92,Customers!$A:$D,2,FALSE)</f>
        <v>Customer_19</v>
      </c>
    </row>
    <row r="93" spans="1:13" x14ac:dyDescent="0.25">
      <c r="A93" t="s">
        <v>147</v>
      </c>
      <c r="B93" s="1">
        <v>45846</v>
      </c>
      <c r="C93" t="s">
        <v>58</v>
      </c>
      <c r="D93" t="s">
        <v>10</v>
      </c>
      <c r="E93">
        <v>2051.79</v>
      </c>
      <c r="F93">
        <v>4</v>
      </c>
      <c r="G93">
        <v>402.13</v>
      </c>
      <c r="H93">
        <v>0.1</v>
      </c>
      <c r="I93" s="2">
        <f t="shared" si="3"/>
        <v>0.19598984301512337</v>
      </c>
      <c r="J93">
        <f t="shared" si="4"/>
        <v>2928.2942372881357</v>
      </c>
      <c r="K93" t="str">
        <f>VLOOKUP(C93,Customers!A:D,3,FALSE)</f>
        <v>North</v>
      </c>
      <c r="L93" t="str">
        <f>VLOOKUP(C93,Customers!$A:$D,4,FALSE)</f>
        <v>Corporate</v>
      </c>
      <c r="M93" t="str">
        <f>VLOOKUP(C93,Customers!$A:$D,2,FALSE)</f>
        <v>Customer_31</v>
      </c>
    </row>
    <row r="94" spans="1:13" x14ac:dyDescent="0.25">
      <c r="A94" t="s">
        <v>148</v>
      </c>
      <c r="B94" s="1">
        <v>46017</v>
      </c>
      <c r="C94" t="s">
        <v>138</v>
      </c>
      <c r="D94" t="s">
        <v>20</v>
      </c>
      <c r="E94">
        <v>2678.06</v>
      </c>
      <c r="F94">
        <v>7</v>
      </c>
      <c r="G94">
        <v>248.25</v>
      </c>
      <c r="H94">
        <v>0.2</v>
      </c>
      <c r="I94" s="2">
        <f t="shared" si="3"/>
        <v>9.2697699080677806E-2</v>
      </c>
      <c r="J94">
        <f t="shared" si="4"/>
        <v>2943.4063793103451</v>
      </c>
      <c r="K94" t="str">
        <f>VLOOKUP(C94,Customers!A:D,3,FALSE)</f>
        <v>North</v>
      </c>
      <c r="L94" t="str">
        <f>VLOOKUP(C94,Customers!$A:$D,4,FALSE)</f>
        <v>Consumer</v>
      </c>
      <c r="M94" t="str">
        <f>VLOOKUP(C94,Customers!$A:$D,2,FALSE)</f>
        <v>Customer_30</v>
      </c>
    </row>
    <row r="95" spans="1:13" x14ac:dyDescent="0.25">
      <c r="A95" t="s">
        <v>149</v>
      </c>
      <c r="B95" s="1">
        <v>45819</v>
      </c>
      <c r="C95" t="s">
        <v>19</v>
      </c>
      <c r="D95" t="s">
        <v>10</v>
      </c>
      <c r="E95">
        <v>1567.78</v>
      </c>
      <c r="F95">
        <v>4</v>
      </c>
      <c r="G95">
        <v>361.09</v>
      </c>
      <c r="H95">
        <v>0</v>
      </c>
      <c r="I95" s="2">
        <f t="shared" si="3"/>
        <v>0.23031930500452868</v>
      </c>
      <c r="J95">
        <f t="shared" si="4"/>
        <v>2948.0615789473682</v>
      </c>
      <c r="K95" t="str">
        <f>VLOOKUP(C95,Customers!A:D,3,FALSE)</f>
        <v>South</v>
      </c>
      <c r="L95" t="str">
        <f>VLOOKUP(C95,Customers!$A:$D,4,FALSE)</f>
        <v>Consumer</v>
      </c>
      <c r="M95" t="str">
        <f>VLOOKUP(C95,Customers!$A:$D,2,FALSE)</f>
        <v>Customer_8</v>
      </c>
    </row>
    <row r="96" spans="1:13" x14ac:dyDescent="0.25">
      <c r="A96" t="s">
        <v>150</v>
      </c>
      <c r="B96" s="1">
        <v>45905</v>
      </c>
      <c r="C96" t="s">
        <v>86</v>
      </c>
      <c r="D96" t="s">
        <v>10</v>
      </c>
      <c r="E96">
        <v>4756.84</v>
      </c>
      <c r="F96">
        <v>3</v>
      </c>
      <c r="G96">
        <v>447.6</v>
      </c>
      <c r="H96">
        <v>0.05</v>
      </c>
      <c r="I96" s="2">
        <f t="shared" si="3"/>
        <v>9.4096080591316925E-2</v>
      </c>
      <c r="J96">
        <f t="shared" si="4"/>
        <v>2972.7094642857141</v>
      </c>
      <c r="K96" t="str">
        <f>VLOOKUP(C96,Customers!A:D,3,FALSE)</f>
        <v>North</v>
      </c>
      <c r="L96" t="str">
        <f>VLOOKUP(C96,Customers!$A:$D,4,FALSE)</f>
        <v>Consumer</v>
      </c>
      <c r="M96" t="str">
        <f>VLOOKUP(C96,Customers!$A:$D,2,FALSE)</f>
        <v>Customer_18</v>
      </c>
    </row>
    <row r="97" spans="1:13" x14ac:dyDescent="0.25">
      <c r="A97" t="s">
        <v>151</v>
      </c>
      <c r="B97" s="1">
        <v>45709</v>
      </c>
      <c r="C97" t="s">
        <v>33</v>
      </c>
      <c r="D97" t="s">
        <v>20</v>
      </c>
      <c r="E97">
        <v>4884.2</v>
      </c>
      <c r="F97">
        <v>9</v>
      </c>
      <c r="G97">
        <v>394.4</v>
      </c>
      <c r="H97">
        <v>0.2</v>
      </c>
      <c r="I97" s="2">
        <f t="shared" si="3"/>
        <v>8.0750174030547475E-2</v>
      </c>
      <c r="J97">
        <f t="shared" si="4"/>
        <v>2940.2707272727271</v>
      </c>
      <c r="K97" t="str">
        <f>VLOOKUP(C97,Customers!A:D,3,FALSE)</f>
        <v>East</v>
      </c>
      <c r="L97" t="str">
        <f>VLOOKUP(C97,Customers!$A:$D,4,FALSE)</f>
        <v>Consumer</v>
      </c>
      <c r="M97" t="str">
        <f>VLOOKUP(C97,Customers!$A:$D,2,FALSE)</f>
        <v>Customer_13</v>
      </c>
    </row>
    <row r="98" spans="1:13" x14ac:dyDescent="0.25">
      <c r="A98" t="s">
        <v>152</v>
      </c>
      <c r="B98" s="1">
        <v>45931</v>
      </c>
      <c r="C98" t="s">
        <v>72</v>
      </c>
      <c r="D98" t="s">
        <v>20</v>
      </c>
      <c r="E98">
        <v>1176.04</v>
      </c>
      <c r="F98">
        <v>3</v>
      </c>
      <c r="G98">
        <v>39.44</v>
      </c>
      <c r="H98">
        <v>0.1</v>
      </c>
      <c r="I98" s="2">
        <f t="shared" si="3"/>
        <v>3.3536274276385156E-2</v>
      </c>
      <c r="J98">
        <f t="shared" ref="J98:J129" si="5">SUM(E98:E247)/COUNTA(A98:A247)</f>
        <v>2904.2720370370366</v>
      </c>
      <c r="K98" t="str">
        <f>VLOOKUP(C98,Customers!A:D,3,FALSE)</f>
        <v>North</v>
      </c>
      <c r="L98" t="str">
        <f>VLOOKUP(C98,Customers!$A:$D,4,FALSE)</f>
        <v>Home Office</v>
      </c>
      <c r="M98" t="str">
        <f>VLOOKUP(C98,Customers!$A:$D,2,FALSE)</f>
        <v>Customer_9</v>
      </c>
    </row>
    <row r="99" spans="1:13" x14ac:dyDescent="0.25">
      <c r="A99" t="s">
        <v>153</v>
      </c>
      <c r="B99" s="1">
        <v>45722</v>
      </c>
      <c r="C99" t="s">
        <v>76</v>
      </c>
      <c r="D99" t="s">
        <v>47</v>
      </c>
      <c r="E99">
        <v>275.3</v>
      </c>
      <c r="F99">
        <v>1</v>
      </c>
      <c r="G99">
        <v>22.86</v>
      </c>
      <c r="H99">
        <v>0.2</v>
      </c>
      <c r="I99" s="2">
        <f t="shared" si="3"/>
        <v>8.3036687250272426E-2</v>
      </c>
      <c r="J99">
        <f t="shared" si="5"/>
        <v>2936.8801886792448</v>
      </c>
      <c r="K99" t="str">
        <f>VLOOKUP(C99,Customers!A:D,3,FALSE)</f>
        <v>East</v>
      </c>
      <c r="L99" t="str">
        <f>VLOOKUP(C99,Customers!$A:$D,4,FALSE)</f>
        <v>Home Office</v>
      </c>
      <c r="M99" t="str">
        <f>VLOOKUP(C99,Customers!$A:$D,2,FALSE)</f>
        <v>Customer_41</v>
      </c>
    </row>
    <row r="100" spans="1:13" x14ac:dyDescent="0.25">
      <c r="A100" t="s">
        <v>154</v>
      </c>
      <c r="B100" s="1">
        <v>45903</v>
      </c>
      <c r="C100" t="s">
        <v>49</v>
      </c>
      <c r="D100" t="s">
        <v>20</v>
      </c>
      <c r="E100">
        <v>557.80999999999995</v>
      </c>
      <c r="F100">
        <v>1</v>
      </c>
      <c r="G100">
        <v>45.23</v>
      </c>
      <c r="H100">
        <v>0.2</v>
      </c>
      <c r="I100" s="2">
        <f t="shared" si="3"/>
        <v>8.1084957243505854E-2</v>
      </c>
      <c r="J100">
        <f t="shared" si="5"/>
        <v>2988.0644230769226</v>
      </c>
      <c r="K100" t="str">
        <f>VLOOKUP(C100,Customers!A:D,3,FALSE)</f>
        <v>South</v>
      </c>
      <c r="L100" t="str">
        <f>VLOOKUP(C100,Customers!$A:$D,4,FALSE)</f>
        <v>Corporate</v>
      </c>
      <c r="M100" t="str">
        <f>VLOOKUP(C100,Customers!$A:$D,2,FALSE)</f>
        <v>Customer_29</v>
      </c>
    </row>
    <row r="101" spans="1:13" x14ac:dyDescent="0.25">
      <c r="A101" t="s">
        <v>155</v>
      </c>
      <c r="B101" s="1">
        <v>45902</v>
      </c>
      <c r="C101" t="s">
        <v>19</v>
      </c>
      <c r="D101" t="s">
        <v>13</v>
      </c>
      <c r="E101">
        <v>962.6</v>
      </c>
      <c r="F101">
        <v>1</v>
      </c>
      <c r="G101">
        <v>255.34</v>
      </c>
      <c r="H101">
        <v>0.1</v>
      </c>
      <c r="I101" s="2">
        <f t="shared" si="3"/>
        <v>0.26526075212964889</v>
      </c>
      <c r="J101">
        <f t="shared" si="5"/>
        <v>3035.7164705882351</v>
      </c>
      <c r="K101" t="str">
        <f>VLOOKUP(C101,Customers!A:D,3,FALSE)</f>
        <v>South</v>
      </c>
      <c r="L101" t="str">
        <f>VLOOKUP(C101,Customers!$A:$D,4,FALSE)</f>
        <v>Consumer</v>
      </c>
      <c r="M101" t="str">
        <f>VLOOKUP(C101,Customers!$A:$D,2,FALSE)</f>
        <v>Customer_8</v>
      </c>
    </row>
    <row r="102" spans="1:13" x14ac:dyDescent="0.25">
      <c r="A102" t="s">
        <v>156</v>
      </c>
      <c r="B102" s="1">
        <v>45685</v>
      </c>
      <c r="C102" t="s">
        <v>157</v>
      </c>
      <c r="D102" t="s">
        <v>23</v>
      </c>
      <c r="E102">
        <v>2033.5</v>
      </c>
      <c r="F102">
        <v>2</v>
      </c>
      <c r="G102">
        <v>340.33</v>
      </c>
      <c r="H102">
        <v>0.2</v>
      </c>
      <c r="I102" s="2">
        <f t="shared" si="3"/>
        <v>0.16736169166461765</v>
      </c>
      <c r="J102">
        <f t="shared" si="5"/>
        <v>3077.1787999999997</v>
      </c>
      <c r="K102" t="str">
        <f>VLOOKUP(C102,Customers!A:D,3,FALSE)</f>
        <v>South</v>
      </c>
      <c r="L102" t="str">
        <f>VLOOKUP(C102,Customers!$A:$D,4,FALSE)</f>
        <v>Home Office</v>
      </c>
      <c r="M102" t="str">
        <f>VLOOKUP(C102,Customers!$A:$D,2,FALSE)</f>
        <v>Customer_10</v>
      </c>
    </row>
    <row r="103" spans="1:13" x14ac:dyDescent="0.25">
      <c r="A103" t="s">
        <v>158</v>
      </c>
      <c r="B103" s="1">
        <v>45718</v>
      </c>
      <c r="C103" t="s">
        <v>102</v>
      </c>
      <c r="D103" t="s">
        <v>47</v>
      </c>
      <c r="E103">
        <v>4065.15</v>
      </c>
      <c r="F103">
        <v>5</v>
      </c>
      <c r="G103">
        <v>1213.3599999999999</v>
      </c>
      <c r="H103">
        <v>0</v>
      </c>
      <c r="I103" s="2">
        <f t="shared" si="3"/>
        <v>0.29847853092751803</v>
      </c>
      <c r="J103">
        <f t="shared" si="5"/>
        <v>3098.4783673469383</v>
      </c>
      <c r="K103" t="str">
        <f>VLOOKUP(C103,Customers!A:D,3,FALSE)</f>
        <v>East</v>
      </c>
      <c r="L103" t="str">
        <f>VLOOKUP(C103,Customers!$A:$D,4,FALSE)</f>
        <v>Home Office</v>
      </c>
      <c r="M103" t="str">
        <f>VLOOKUP(C103,Customers!$A:$D,2,FALSE)</f>
        <v>Customer_36</v>
      </c>
    </row>
    <row r="104" spans="1:13" x14ac:dyDescent="0.25">
      <c r="A104" t="s">
        <v>159</v>
      </c>
      <c r="B104" s="1">
        <v>45852</v>
      </c>
      <c r="C104" t="s">
        <v>49</v>
      </c>
      <c r="D104" t="s">
        <v>47</v>
      </c>
      <c r="E104">
        <v>3051.27</v>
      </c>
      <c r="F104">
        <v>10</v>
      </c>
      <c r="G104">
        <v>713.76</v>
      </c>
      <c r="H104">
        <v>0.05</v>
      </c>
      <c r="I104" s="2">
        <f t="shared" si="3"/>
        <v>0.23392226843248876</v>
      </c>
      <c r="J104">
        <f t="shared" si="5"/>
        <v>3078.3393749999996</v>
      </c>
      <c r="K104" t="str">
        <f>VLOOKUP(C104,Customers!A:D,3,FALSE)</f>
        <v>South</v>
      </c>
      <c r="L104" t="str">
        <f>VLOOKUP(C104,Customers!$A:$D,4,FALSE)</f>
        <v>Corporate</v>
      </c>
      <c r="M104" t="str">
        <f>VLOOKUP(C104,Customers!$A:$D,2,FALSE)</f>
        <v>Customer_29</v>
      </c>
    </row>
    <row r="105" spans="1:13" x14ac:dyDescent="0.25">
      <c r="A105" t="s">
        <v>160</v>
      </c>
      <c r="B105" s="1">
        <v>45975</v>
      </c>
      <c r="C105" t="s">
        <v>56</v>
      </c>
      <c r="D105" t="s">
        <v>10</v>
      </c>
      <c r="E105">
        <v>1521.9</v>
      </c>
      <c r="F105">
        <v>10</v>
      </c>
      <c r="G105">
        <v>146.63</v>
      </c>
      <c r="H105">
        <v>0.15</v>
      </c>
      <c r="I105" s="2">
        <f t="shared" si="3"/>
        <v>9.6346671923253815E-2</v>
      </c>
      <c r="J105">
        <f t="shared" si="5"/>
        <v>3078.9153191489354</v>
      </c>
      <c r="K105" t="str">
        <f>VLOOKUP(C105,Customers!A:D,3,FALSE)</f>
        <v>North</v>
      </c>
      <c r="L105" t="str">
        <f>VLOOKUP(C105,Customers!$A:$D,4,FALSE)</f>
        <v>Home Office</v>
      </c>
      <c r="M105" t="str">
        <f>VLOOKUP(C105,Customers!$A:$D,2,FALSE)</f>
        <v>Customer_4</v>
      </c>
    </row>
    <row r="106" spans="1:13" x14ac:dyDescent="0.25">
      <c r="A106" t="s">
        <v>161</v>
      </c>
      <c r="B106" s="1">
        <v>45793</v>
      </c>
      <c r="C106" t="s">
        <v>98</v>
      </c>
      <c r="D106" t="s">
        <v>13</v>
      </c>
      <c r="E106">
        <v>4802.54</v>
      </c>
      <c r="F106">
        <v>2</v>
      </c>
      <c r="G106">
        <v>943.12</v>
      </c>
      <c r="H106">
        <v>0.05</v>
      </c>
      <c r="I106" s="2">
        <f t="shared" si="3"/>
        <v>0.19637941589242358</v>
      </c>
      <c r="J106">
        <f t="shared" si="5"/>
        <v>3112.7634782608693</v>
      </c>
      <c r="K106" t="str">
        <f>VLOOKUP(C106,Customers!A:D,3,FALSE)</f>
        <v>East</v>
      </c>
      <c r="L106" t="str">
        <f>VLOOKUP(C106,Customers!$A:$D,4,FALSE)</f>
        <v>Consumer</v>
      </c>
      <c r="M106" t="str">
        <f>VLOOKUP(C106,Customers!$A:$D,2,FALSE)</f>
        <v>Customer_43</v>
      </c>
    </row>
    <row r="107" spans="1:13" x14ac:dyDescent="0.25">
      <c r="A107" t="s">
        <v>162</v>
      </c>
      <c r="B107" s="1">
        <v>45659</v>
      </c>
      <c r="C107" t="s">
        <v>84</v>
      </c>
      <c r="D107" t="s">
        <v>47</v>
      </c>
      <c r="E107">
        <v>827.43</v>
      </c>
      <c r="F107">
        <v>3</v>
      </c>
      <c r="G107">
        <v>23.8</v>
      </c>
      <c r="H107">
        <v>0.2</v>
      </c>
      <c r="I107" s="2">
        <f t="shared" si="3"/>
        <v>2.8763762493503986E-2</v>
      </c>
      <c r="J107">
        <f t="shared" si="5"/>
        <v>3075.2128888888892</v>
      </c>
      <c r="K107" t="str">
        <f>VLOOKUP(C107,Customers!A:D,3,FALSE)</f>
        <v>South</v>
      </c>
      <c r="L107" t="str">
        <f>VLOOKUP(C107,Customers!$A:$D,4,FALSE)</f>
        <v>Home Office</v>
      </c>
      <c r="M107" t="str">
        <f>VLOOKUP(C107,Customers!$A:$D,2,FALSE)</f>
        <v>Customer_27</v>
      </c>
    </row>
    <row r="108" spans="1:13" x14ac:dyDescent="0.25">
      <c r="A108" t="s">
        <v>163</v>
      </c>
      <c r="B108" s="1">
        <v>45805</v>
      </c>
      <c r="C108" t="s">
        <v>164</v>
      </c>
      <c r="D108" t="s">
        <v>20</v>
      </c>
      <c r="E108">
        <v>3462.39</v>
      </c>
      <c r="F108">
        <v>8</v>
      </c>
      <c r="G108">
        <v>132.12</v>
      </c>
      <c r="H108">
        <v>0.1</v>
      </c>
      <c r="I108" s="2">
        <f t="shared" si="3"/>
        <v>3.8158612981206624E-2</v>
      </c>
      <c r="J108">
        <f t="shared" si="5"/>
        <v>3126.2988636363634</v>
      </c>
      <c r="K108" t="str">
        <f>VLOOKUP(C108,Customers!A:D,3,FALSE)</f>
        <v>East</v>
      </c>
      <c r="L108" t="str">
        <f>VLOOKUP(C108,Customers!$A:$D,4,FALSE)</f>
        <v>Consumer</v>
      </c>
      <c r="M108" t="str">
        <f>VLOOKUP(C108,Customers!$A:$D,2,FALSE)</f>
        <v>Customer_46</v>
      </c>
    </row>
    <row r="109" spans="1:13" x14ac:dyDescent="0.25">
      <c r="A109" t="s">
        <v>165</v>
      </c>
      <c r="B109" s="1">
        <v>45793</v>
      </c>
      <c r="C109" t="s">
        <v>76</v>
      </c>
      <c r="D109" t="s">
        <v>10</v>
      </c>
      <c r="E109">
        <v>3529.79</v>
      </c>
      <c r="F109">
        <v>8</v>
      </c>
      <c r="G109">
        <v>783.07</v>
      </c>
      <c r="H109">
        <v>0</v>
      </c>
      <c r="I109" s="2">
        <f t="shared" si="3"/>
        <v>0.22184605883069533</v>
      </c>
      <c r="J109">
        <f t="shared" si="5"/>
        <v>3118.4827906976752</v>
      </c>
      <c r="K109" t="str">
        <f>VLOOKUP(C109,Customers!A:D,3,FALSE)</f>
        <v>East</v>
      </c>
      <c r="L109" t="str">
        <f>VLOOKUP(C109,Customers!$A:$D,4,FALSE)</f>
        <v>Home Office</v>
      </c>
      <c r="M109" t="str">
        <f>VLOOKUP(C109,Customers!$A:$D,2,FALSE)</f>
        <v>Customer_41</v>
      </c>
    </row>
    <row r="110" spans="1:13" x14ac:dyDescent="0.25">
      <c r="A110" t="s">
        <v>166</v>
      </c>
      <c r="B110" s="1">
        <v>45773</v>
      </c>
      <c r="C110" t="s">
        <v>104</v>
      </c>
      <c r="D110" t="s">
        <v>23</v>
      </c>
      <c r="E110">
        <v>3322.86</v>
      </c>
      <c r="F110">
        <v>4</v>
      </c>
      <c r="G110">
        <v>161.80000000000001</v>
      </c>
      <c r="H110">
        <v>0.15</v>
      </c>
      <c r="I110" s="2">
        <f t="shared" si="3"/>
        <v>4.8692993385216349E-2</v>
      </c>
      <c r="J110">
        <f t="shared" si="5"/>
        <v>3108.6897619047622</v>
      </c>
      <c r="K110" t="str">
        <f>VLOOKUP(C110,Customers!A:D,3,FALSE)</f>
        <v>South</v>
      </c>
      <c r="L110" t="str">
        <f>VLOOKUP(C110,Customers!$A:$D,4,FALSE)</f>
        <v>Home Office</v>
      </c>
      <c r="M110" t="str">
        <f>VLOOKUP(C110,Customers!$A:$D,2,FALSE)</f>
        <v>Customer_42</v>
      </c>
    </row>
    <row r="111" spans="1:13" x14ac:dyDescent="0.25">
      <c r="A111" t="s">
        <v>167</v>
      </c>
      <c r="B111" s="1">
        <v>45815</v>
      </c>
      <c r="C111" t="s">
        <v>15</v>
      </c>
      <c r="D111" t="s">
        <v>10</v>
      </c>
      <c r="E111">
        <v>4546.6400000000003</v>
      </c>
      <c r="F111">
        <v>3</v>
      </c>
      <c r="G111">
        <v>295.12</v>
      </c>
      <c r="H111">
        <v>0</v>
      </c>
      <c r="I111" s="2">
        <f t="shared" si="3"/>
        <v>6.4909471609804162E-2</v>
      </c>
      <c r="J111">
        <f t="shared" si="5"/>
        <v>3103.4660975609754</v>
      </c>
      <c r="K111" t="str">
        <f>VLOOKUP(C111,Customers!A:D,3,FALSE)</f>
        <v>South</v>
      </c>
      <c r="L111" t="str">
        <f>VLOOKUP(C111,Customers!$A:$D,4,FALSE)</f>
        <v>Consumer</v>
      </c>
      <c r="M111" t="str">
        <f>VLOOKUP(C111,Customers!$A:$D,2,FALSE)</f>
        <v>Customer_39</v>
      </c>
    </row>
    <row r="112" spans="1:13" x14ac:dyDescent="0.25">
      <c r="A112" t="s">
        <v>168</v>
      </c>
      <c r="B112" s="1">
        <v>45813</v>
      </c>
      <c r="C112" t="s">
        <v>145</v>
      </c>
      <c r="D112" t="s">
        <v>47</v>
      </c>
      <c r="E112">
        <v>4609.8999999999996</v>
      </c>
      <c r="F112">
        <v>8</v>
      </c>
      <c r="G112">
        <v>770.66</v>
      </c>
      <c r="H112">
        <v>0</v>
      </c>
      <c r="I112" s="2">
        <f t="shared" si="3"/>
        <v>0.16717499294995553</v>
      </c>
      <c r="J112">
        <f t="shared" si="5"/>
        <v>3067.3867500000001</v>
      </c>
      <c r="K112" t="str">
        <f>VLOOKUP(C112,Customers!A:D,3,FALSE)</f>
        <v>East</v>
      </c>
      <c r="L112" t="str">
        <f>VLOOKUP(C112,Customers!$A:$D,4,FALSE)</f>
        <v>Corporate</v>
      </c>
      <c r="M112" t="str">
        <f>VLOOKUP(C112,Customers!$A:$D,2,FALSE)</f>
        <v>Customer_45</v>
      </c>
    </row>
    <row r="113" spans="1:13" x14ac:dyDescent="0.25">
      <c r="A113" t="s">
        <v>169</v>
      </c>
      <c r="B113" s="1">
        <v>45699</v>
      </c>
      <c r="C113" t="s">
        <v>15</v>
      </c>
      <c r="D113" t="s">
        <v>13</v>
      </c>
      <c r="E113">
        <v>4716.25</v>
      </c>
      <c r="F113">
        <v>9</v>
      </c>
      <c r="G113">
        <v>629.38</v>
      </c>
      <c r="H113">
        <v>0.2</v>
      </c>
      <c r="I113" s="2">
        <f t="shared" si="3"/>
        <v>0.1334492446329181</v>
      </c>
      <c r="J113">
        <f t="shared" si="5"/>
        <v>3027.8351282051285</v>
      </c>
      <c r="K113" t="str">
        <f>VLOOKUP(C113,Customers!A:D,3,FALSE)</f>
        <v>South</v>
      </c>
      <c r="L113" t="str">
        <f>VLOOKUP(C113,Customers!$A:$D,4,FALSE)</f>
        <v>Consumer</v>
      </c>
      <c r="M113" t="str">
        <f>VLOOKUP(C113,Customers!$A:$D,2,FALSE)</f>
        <v>Customer_39</v>
      </c>
    </row>
    <row r="114" spans="1:13" x14ac:dyDescent="0.25">
      <c r="A114" t="s">
        <v>170</v>
      </c>
      <c r="B114" s="1">
        <v>45704</v>
      </c>
      <c r="C114" t="s">
        <v>88</v>
      </c>
      <c r="D114" t="s">
        <v>10</v>
      </c>
      <c r="E114">
        <v>4452.6400000000003</v>
      </c>
      <c r="F114">
        <v>6</v>
      </c>
      <c r="G114">
        <v>323.23</v>
      </c>
      <c r="H114">
        <v>0.2</v>
      </c>
      <c r="I114" s="2">
        <f t="shared" si="3"/>
        <v>7.259288871321283E-2</v>
      </c>
      <c r="J114">
        <f t="shared" si="5"/>
        <v>2983.403157894737</v>
      </c>
      <c r="K114" t="str">
        <f>VLOOKUP(C114,Customers!A:D,3,FALSE)</f>
        <v>West</v>
      </c>
      <c r="L114" t="str">
        <f>VLOOKUP(C114,Customers!$A:$D,4,FALSE)</f>
        <v>Corporate</v>
      </c>
      <c r="M114" t="str">
        <f>VLOOKUP(C114,Customers!$A:$D,2,FALSE)</f>
        <v>Customer_15</v>
      </c>
    </row>
    <row r="115" spans="1:13" x14ac:dyDescent="0.25">
      <c r="A115" t="s">
        <v>171</v>
      </c>
      <c r="B115" s="1">
        <v>45747</v>
      </c>
      <c r="C115" t="s">
        <v>58</v>
      </c>
      <c r="D115" t="s">
        <v>10</v>
      </c>
      <c r="E115">
        <v>2956.26</v>
      </c>
      <c r="F115">
        <v>1</v>
      </c>
      <c r="G115">
        <v>514.57000000000005</v>
      </c>
      <c r="H115">
        <v>0.1</v>
      </c>
      <c r="I115" s="2">
        <f t="shared" si="3"/>
        <v>0.17406114482488008</v>
      </c>
      <c r="J115">
        <f t="shared" si="5"/>
        <v>2943.694054054054</v>
      </c>
      <c r="K115" t="str">
        <f>VLOOKUP(C115,Customers!A:D,3,FALSE)</f>
        <v>North</v>
      </c>
      <c r="L115" t="str">
        <f>VLOOKUP(C115,Customers!$A:$D,4,FALSE)</f>
        <v>Corporate</v>
      </c>
      <c r="M115" t="str">
        <f>VLOOKUP(C115,Customers!$A:$D,2,FALSE)</f>
        <v>Customer_31</v>
      </c>
    </row>
    <row r="116" spans="1:13" x14ac:dyDescent="0.25">
      <c r="A116" t="s">
        <v>172</v>
      </c>
      <c r="B116" s="1">
        <v>45881</v>
      </c>
      <c r="C116" t="s">
        <v>76</v>
      </c>
      <c r="D116" t="s">
        <v>47</v>
      </c>
      <c r="E116">
        <v>3274.97</v>
      </c>
      <c r="F116">
        <v>5</v>
      </c>
      <c r="G116">
        <v>947.24</v>
      </c>
      <c r="H116">
        <v>0.05</v>
      </c>
      <c r="I116" s="2">
        <f t="shared" si="3"/>
        <v>0.28923623727850944</v>
      </c>
      <c r="J116">
        <f t="shared" si="5"/>
        <v>2943.3450000000003</v>
      </c>
      <c r="K116" t="str">
        <f>VLOOKUP(C116,Customers!A:D,3,FALSE)</f>
        <v>East</v>
      </c>
      <c r="L116" t="str">
        <f>VLOOKUP(C116,Customers!$A:$D,4,FALSE)</f>
        <v>Home Office</v>
      </c>
      <c r="M116" t="str">
        <f>VLOOKUP(C116,Customers!$A:$D,2,FALSE)</f>
        <v>Customer_41</v>
      </c>
    </row>
    <row r="117" spans="1:13" x14ac:dyDescent="0.25">
      <c r="A117" t="s">
        <v>173</v>
      </c>
      <c r="B117" s="1">
        <v>45822</v>
      </c>
      <c r="C117" t="s">
        <v>98</v>
      </c>
      <c r="D117" t="s">
        <v>13</v>
      </c>
      <c r="E117">
        <v>4846.82</v>
      </c>
      <c r="F117">
        <v>8</v>
      </c>
      <c r="G117">
        <v>640.20000000000005</v>
      </c>
      <c r="H117">
        <v>0.1</v>
      </c>
      <c r="I117" s="2">
        <f t="shared" si="3"/>
        <v>0.13208660523807364</v>
      </c>
      <c r="J117">
        <f t="shared" si="5"/>
        <v>2933.8699999999994</v>
      </c>
      <c r="K117" t="str">
        <f>VLOOKUP(C117,Customers!A:D,3,FALSE)</f>
        <v>East</v>
      </c>
      <c r="L117" t="str">
        <f>VLOOKUP(C117,Customers!$A:$D,4,FALSE)</f>
        <v>Consumer</v>
      </c>
      <c r="M117" t="str">
        <f>VLOOKUP(C117,Customers!$A:$D,2,FALSE)</f>
        <v>Customer_43</v>
      </c>
    </row>
    <row r="118" spans="1:13" x14ac:dyDescent="0.25">
      <c r="A118" t="s">
        <v>174</v>
      </c>
      <c r="B118" s="1">
        <v>45805</v>
      </c>
      <c r="C118" t="s">
        <v>98</v>
      </c>
      <c r="D118" t="s">
        <v>47</v>
      </c>
      <c r="E118">
        <v>4295.78</v>
      </c>
      <c r="F118">
        <v>6</v>
      </c>
      <c r="G118">
        <v>830.88</v>
      </c>
      <c r="H118">
        <v>0.15</v>
      </c>
      <c r="I118" s="2">
        <f t="shared" si="3"/>
        <v>0.19341772623365258</v>
      </c>
      <c r="J118">
        <f t="shared" si="5"/>
        <v>2877.6067647058821</v>
      </c>
      <c r="K118" t="str">
        <f>VLOOKUP(C118,Customers!A:D,3,FALSE)</f>
        <v>East</v>
      </c>
      <c r="L118" t="str">
        <f>VLOOKUP(C118,Customers!$A:$D,4,FALSE)</f>
        <v>Consumer</v>
      </c>
      <c r="M118" t="str">
        <f>VLOOKUP(C118,Customers!$A:$D,2,FALSE)</f>
        <v>Customer_43</v>
      </c>
    </row>
    <row r="119" spans="1:13" x14ac:dyDescent="0.25">
      <c r="A119" t="s">
        <v>175</v>
      </c>
      <c r="B119" s="1">
        <v>45819</v>
      </c>
      <c r="C119" t="s">
        <v>31</v>
      </c>
      <c r="D119" t="s">
        <v>20</v>
      </c>
      <c r="E119">
        <v>4077.15</v>
      </c>
      <c r="F119">
        <v>9</v>
      </c>
      <c r="G119">
        <v>667.46</v>
      </c>
      <c r="H119">
        <v>0</v>
      </c>
      <c r="I119" s="2">
        <f t="shared" si="3"/>
        <v>0.16370749175281754</v>
      </c>
      <c r="J119">
        <f t="shared" si="5"/>
        <v>2834.6318181818183</v>
      </c>
      <c r="K119" t="str">
        <f>VLOOKUP(C119,Customers!A:D,3,FALSE)</f>
        <v>South</v>
      </c>
      <c r="L119" t="str">
        <f>VLOOKUP(C119,Customers!$A:$D,4,FALSE)</f>
        <v>Corporate</v>
      </c>
      <c r="M119" t="str">
        <f>VLOOKUP(C119,Customers!$A:$D,2,FALSE)</f>
        <v>Customer_17</v>
      </c>
    </row>
    <row r="120" spans="1:13" x14ac:dyDescent="0.25">
      <c r="A120" t="s">
        <v>176</v>
      </c>
      <c r="B120" s="1">
        <v>45658</v>
      </c>
      <c r="C120" t="s">
        <v>98</v>
      </c>
      <c r="D120" t="s">
        <v>10</v>
      </c>
      <c r="E120">
        <v>623.80999999999995</v>
      </c>
      <c r="F120">
        <v>7</v>
      </c>
      <c r="G120">
        <v>134.88999999999999</v>
      </c>
      <c r="H120">
        <v>0.2</v>
      </c>
      <c r="I120" s="2">
        <f t="shared" si="3"/>
        <v>0.2162357127971658</v>
      </c>
      <c r="J120">
        <f t="shared" si="5"/>
        <v>2795.8031249999999</v>
      </c>
      <c r="K120" t="str">
        <f>VLOOKUP(C120,Customers!A:D,3,FALSE)</f>
        <v>East</v>
      </c>
      <c r="L120" t="str">
        <f>VLOOKUP(C120,Customers!$A:$D,4,FALSE)</f>
        <v>Consumer</v>
      </c>
      <c r="M120" t="str">
        <f>VLOOKUP(C120,Customers!$A:$D,2,FALSE)</f>
        <v>Customer_43</v>
      </c>
    </row>
    <row r="121" spans="1:13" x14ac:dyDescent="0.25">
      <c r="A121" t="s">
        <v>177</v>
      </c>
      <c r="B121" s="1">
        <v>45976</v>
      </c>
      <c r="C121" t="s">
        <v>12</v>
      </c>
      <c r="D121" t="s">
        <v>47</v>
      </c>
      <c r="E121">
        <v>2336.7800000000002</v>
      </c>
      <c r="F121">
        <v>1</v>
      </c>
      <c r="G121">
        <v>396.34</v>
      </c>
      <c r="H121">
        <v>0.05</v>
      </c>
      <c r="I121" s="2">
        <f t="shared" si="3"/>
        <v>0.16960946259382567</v>
      </c>
      <c r="J121">
        <f t="shared" si="5"/>
        <v>2865.8674193548386</v>
      </c>
      <c r="K121" t="str">
        <f>VLOOKUP(C121,Customers!A:D,3,FALSE)</f>
        <v>West</v>
      </c>
      <c r="L121" t="str">
        <f>VLOOKUP(C121,Customers!$A:$D,4,FALSE)</f>
        <v>Corporate</v>
      </c>
      <c r="M121" t="str">
        <f>VLOOKUP(C121,Customers!$A:$D,2,FALSE)</f>
        <v>Customer_49</v>
      </c>
    </row>
    <row r="122" spans="1:13" x14ac:dyDescent="0.25">
      <c r="A122" t="s">
        <v>178</v>
      </c>
      <c r="B122" s="1">
        <v>45725</v>
      </c>
      <c r="C122" t="s">
        <v>68</v>
      </c>
      <c r="D122" t="s">
        <v>47</v>
      </c>
      <c r="E122">
        <v>3145.77</v>
      </c>
      <c r="F122">
        <v>1</v>
      </c>
      <c r="G122">
        <v>335.86</v>
      </c>
      <c r="H122">
        <v>0.05</v>
      </c>
      <c r="I122" s="2">
        <f t="shared" si="3"/>
        <v>0.10676559316161068</v>
      </c>
      <c r="J122">
        <f t="shared" si="5"/>
        <v>2883.503666666667</v>
      </c>
      <c r="K122" t="str">
        <f>VLOOKUP(C122,Customers!A:D,3,FALSE)</f>
        <v>West</v>
      </c>
      <c r="L122" t="str">
        <f>VLOOKUP(C122,Customers!$A:$D,4,FALSE)</f>
        <v>Consumer</v>
      </c>
      <c r="M122" t="str">
        <f>VLOOKUP(C122,Customers!$A:$D,2,FALSE)</f>
        <v>Customer_19</v>
      </c>
    </row>
    <row r="123" spans="1:13" x14ac:dyDescent="0.25">
      <c r="A123" t="s">
        <v>179</v>
      </c>
      <c r="B123" s="1">
        <v>45980</v>
      </c>
      <c r="C123" t="s">
        <v>15</v>
      </c>
      <c r="D123" t="s">
        <v>23</v>
      </c>
      <c r="E123">
        <v>4410.1899999999996</v>
      </c>
      <c r="F123">
        <v>8</v>
      </c>
      <c r="G123">
        <v>252.34</v>
      </c>
      <c r="H123">
        <v>0</v>
      </c>
      <c r="I123" s="2">
        <f t="shared" si="3"/>
        <v>5.7217489495917415E-2</v>
      </c>
      <c r="J123">
        <f t="shared" si="5"/>
        <v>2874.4600000000005</v>
      </c>
      <c r="K123" t="str">
        <f>VLOOKUP(C123,Customers!A:D,3,FALSE)</f>
        <v>South</v>
      </c>
      <c r="L123" t="str">
        <f>VLOOKUP(C123,Customers!$A:$D,4,FALSE)</f>
        <v>Consumer</v>
      </c>
      <c r="M123" t="str">
        <f>VLOOKUP(C123,Customers!$A:$D,2,FALSE)</f>
        <v>Customer_39</v>
      </c>
    </row>
    <row r="124" spans="1:13" x14ac:dyDescent="0.25">
      <c r="A124" t="s">
        <v>180</v>
      </c>
      <c r="B124" s="1">
        <v>45866</v>
      </c>
      <c r="C124" t="s">
        <v>60</v>
      </c>
      <c r="D124" t="s">
        <v>23</v>
      </c>
      <c r="E124">
        <v>3563.42</v>
      </c>
      <c r="F124">
        <v>5</v>
      </c>
      <c r="G124">
        <v>47.82</v>
      </c>
      <c r="H124">
        <v>0.2</v>
      </c>
      <c r="I124" s="2">
        <f t="shared" si="3"/>
        <v>1.3419692318054004E-2</v>
      </c>
      <c r="J124">
        <f t="shared" si="5"/>
        <v>2819.6125000000002</v>
      </c>
      <c r="K124" t="str">
        <f>VLOOKUP(C124,Customers!A:D,3,FALSE)</f>
        <v>West</v>
      </c>
      <c r="L124" t="str">
        <f>VLOOKUP(C124,Customers!$A:$D,4,FALSE)</f>
        <v>Consumer</v>
      </c>
      <c r="M124" t="str">
        <f>VLOOKUP(C124,Customers!$A:$D,2,FALSE)</f>
        <v>Customer_6</v>
      </c>
    </row>
    <row r="125" spans="1:13" x14ac:dyDescent="0.25">
      <c r="A125" t="s">
        <v>181</v>
      </c>
      <c r="B125" s="1">
        <v>45989</v>
      </c>
      <c r="C125" t="s">
        <v>157</v>
      </c>
      <c r="D125" t="s">
        <v>47</v>
      </c>
      <c r="E125">
        <v>4961.67</v>
      </c>
      <c r="F125">
        <v>2</v>
      </c>
      <c r="G125">
        <v>1273.98</v>
      </c>
      <c r="H125">
        <v>0.15</v>
      </c>
      <c r="I125" s="2">
        <f t="shared" si="3"/>
        <v>0.25676435554964355</v>
      </c>
      <c r="J125">
        <f t="shared" si="5"/>
        <v>2792.0640740740746</v>
      </c>
      <c r="K125" t="str">
        <f>VLOOKUP(C125,Customers!A:D,3,FALSE)</f>
        <v>South</v>
      </c>
      <c r="L125" t="str">
        <f>VLOOKUP(C125,Customers!$A:$D,4,FALSE)</f>
        <v>Home Office</v>
      </c>
      <c r="M125" t="str">
        <f>VLOOKUP(C125,Customers!$A:$D,2,FALSE)</f>
        <v>Customer_10</v>
      </c>
    </row>
    <row r="126" spans="1:13" x14ac:dyDescent="0.25">
      <c r="A126" t="s">
        <v>182</v>
      </c>
      <c r="B126" s="1">
        <v>45870</v>
      </c>
      <c r="C126" t="s">
        <v>58</v>
      </c>
      <c r="D126" t="s">
        <v>47</v>
      </c>
      <c r="E126">
        <v>4666.63</v>
      </c>
      <c r="F126">
        <v>5</v>
      </c>
      <c r="G126">
        <v>869.64</v>
      </c>
      <c r="H126">
        <v>0.2</v>
      </c>
      <c r="I126" s="2">
        <f t="shared" si="3"/>
        <v>0.18635289277272893</v>
      </c>
      <c r="J126">
        <f t="shared" si="5"/>
        <v>2708.6176923076923</v>
      </c>
      <c r="K126" t="str">
        <f>VLOOKUP(C126,Customers!A:D,3,FALSE)</f>
        <v>North</v>
      </c>
      <c r="L126" t="str">
        <f>VLOOKUP(C126,Customers!$A:$D,4,FALSE)</f>
        <v>Corporate</v>
      </c>
      <c r="M126" t="str">
        <f>VLOOKUP(C126,Customers!$A:$D,2,FALSE)</f>
        <v>Customer_31</v>
      </c>
    </row>
    <row r="127" spans="1:13" x14ac:dyDescent="0.25">
      <c r="A127" t="s">
        <v>183</v>
      </c>
      <c r="B127" s="1">
        <v>45964</v>
      </c>
      <c r="C127" t="s">
        <v>22</v>
      </c>
      <c r="D127" t="s">
        <v>23</v>
      </c>
      <c r="E127">
        <v>1256.47</v>
      </c>
      <c r="F127">
        <v>9</v>
      </c>
      <c r="G127">
        <v>170.75</v>
      </c>
      <c r="H127">
        <v>0.05</v>
      </c>
      <c r="I127" s="2">
        <f t="shared" si="3"/>
        <v>0.13589659920252772</v>
      </c>
      <c r="J127">
        <f t="shared" si="5"/>
        <v>2630.2972000000004</v>
      </c>
      <c r="K127" t="str">
        <f>VLOOKUP(C127,Customers!A:D,3,FALSE)</f>
        <v>East</v>
      </c>
      <c r="L127" t="str">
        <f>VLOOKUP(C127,Customers!$A:$D,4,FALSE)</f>
        <v>Consumer</v>
      </c>
      <c r="M127" t="str">
        <f>VLOOKUP(C127,Customers!$A:$D,2,FALSE)</f>
        <v>Customer_33</v>
      </c>
    </row>
    <row r="128" spans="1:13" x14ac:dyDescent="0.25">
      <c r="A128" t="s">
        <v>184</v>
      </c>
      <c r="B128" s="1">
        <v>45917</v>
      </c>
      <c r="C128" t="s">
        <v>86</v>
      </c>
      <c r="D128" t="s">
        <v>13</v>
      </c>
      <c r="E128">
        <v>4326.93</v>
      </c>
      <c r="F128">
        <v>5</v>
      </c>
      <c r="G128">
        <v>454.19</v>
      </c>
      <c r="H128">
        <v>0.15</v>
      </c>
      <c r="I128" s="2">
        <f t="shared" si="3"/>
        <v>0.10496818760645538</v>
      </c>
      <c r="J128">
        <f t="shared" si="5"/>
        <v>2687.5400000000004</v>
      </c>
      <c r="K128" t="str">
        <f>VLOOKUP(C128,Customers!A:D,3,FALSE)</f>
        <v>North</v>
      </c>
      <c r="L128" t="str">
        <f>VLOOKUP(C128,Customers!$A:$D,4,FALSE)</f>
        <v>Consumer</v>
      </c>
      <c r="M128" t="str">
        <f>VLOOKUP(C128,Customers!$A:$D,2,FALSE)</f>
        <v>Customer_18</v>
      </c>
    </row>
    <row r="129" spans="1:13" x14ac:dyDescent="0.25">
      <c r="A129" t="s">
        <v>185</v>
      </c>
      <c r="B129" s="1">
        <v>45995</v>
      </c>
      <c r="C129" t="s">
        <v>122</v>
      </c>
      <c r="D129" t="s">
        <v>23</v>
      </c>
      <c r="E129">
        <v>1450.05</v>
      </c>
      <c r="F129">
        <v>5</v>
      </c>
      <c r="G129">
        <v>224.73</v>
      </c>
      <c r="H129">
        <v>0.2</v>
      </c>
      <c r="I129" s="2">
        <f t="shared" si="3"/>
        <v>0.1549808627288714</v>
      </c>
      <c r="J129">
        <f t="shared" si="5"/>
        <v>2616.2621739130436</v>
      </c>
      <c r="K129" t="str">
        <f>VLOOKUP(C129,Customers!A:D,3,FALSE)</f>
        <v>East</v>
      </c>
      <c r="L129" t="str">
        <f>VLOOKUP(C129,Customers!$A:$D,4,FALSE)</f>
        <v>Corporate</v>
      </c>
      <c r="M129" t="str">
        <f>VLOOKUP(C129,Customers!$A:$D,2,FALSE)</f>
        <v>Customer_32</v>
      </c>
    </row>
    <row r="130" spans="1:13" x14ac:dyDescent="0.25">
      <c r="A130" t="s">
        <v>186</v>
      </c>
      <c r="B130" s="1">
        <v>45936</v>
      </c>
      <c r="C130" t="s">
        <v>53</v>
      </c>
      <c r="D130" t="s">
        <v>47</v>
      </c>
      <c r="E130">
        <v>2260.41</v>
      </c>
      <c r="F130">
        <v>8</v>
      </c>
      <c r="G130">
        <v>255.67</v>
      </c>
      <c r="H130">
        <v>0.1</v>
      </c>
      <c r="I130" s="2">
        <f t="shared" ref="I130:I151" si="6">G130/E130</f>
        <v>0.11310779902761003</v>
      </c>
      <c r="J130">
        <f t="shared" ref="J130:J151" si="7">SUM(E130:E279)/COUNTA(A130:A279)</f>
        <v>2669.2718181818186</v>
      </c>
      <c r="K130" t="str">
        <f>VLOOKUP(C130,Customers!A:D,3,FALSE)</f>
        <v>East</v>
      </c>
      <c r="L130" t="str">
        <f>VLOOKUP(C130,Customers!$A:$D,4,FALSE)</f>
        <v>Home Office</v>
      </c>
      <c r="M130" t="str">
        <f>VLOOKUP(C130,Customers!$A:$D,2,FALSE)</f>
        <v>Customer_25</v>
      </c>
    </row>
    <row r="131" spans="1:13" x14ac:dyDescent="0.25">
      <c r="A131" t="s">
        <v>187</v>
      </c>
      <c r="B131" s="1">
        <v>45777</v>
      </c>
      <c r="C131" t="s">
        <v>91</v>
      </c>
      <c r="D131" t="s">
        <v>47</v>
      </c>
      <c r="E131">
        <v>4667.62</v>
      </c>
      <c r="F131">
        <v>4</v>
      </c>
      <c r="G131">
        <v>853.94</v>
      </c>
      <c r="H131">
        <v>0.05</v>
      </c>
      <c r="I131" s="2">
        <f t="shared" si="6"/>
        <v>0.18294976883293843</v>
      </c>
      <c r="J131">
        <f t="shared" si="7"/>
        <v>2688.741428571429</v>
      </c>
      <c r="K131" t="str">
        <f>VLOOKUP(C131,Customers!A:D,3,FALSE)</f>
        <v>West</v>
      </c>
      <c r="L131" t="str">
        <f>VLOOKUP(C131,Customers!$A:$D,4,FALSE)</f>
        <v>Consumer</v>
      </c>
      <c r="M131" t="str">
        <f>VLOOKUP(C131,Customers!$A:$D,2,FALSE)</f>
        <v>Customer_50</v>
      </c>
    </row>
    <row r="132" spans="1:13" x14ac:dyDescent="0.25">
      <c r="A132" t="s">
        <v>188</v>
      </c>
      <c r="B132" s="1">
        <v>45997</v>
      </c>
      <c r="C132" t="s">
        <v>104</v>
      </c>
      <c r="D132" t="s">
        <v>23</v>
      </c>
      <c r="E132">
        <v>266.05</v>
      </c>
      <c r="F132">
        <v>8</v>
      </c>
      <c r="G132">
        <v>31</v>
      </c>
      <c r="H132">
        <v>0.15</v>
      </c>
      <c r="I132" s="2">
        <f t="shared" si="6"/>
        <v>0.11651945123097161</v>
      </c>
      <c r="J132">
        <f t="shared" si="7"/>
        <v>2589.7974999999997</v>
      </c>
      <c r="K132" t="str">
        <f>VLOOKUP(C132,Customers!A:D,3,FALSE)</f>
        <v>South</v>
      </c>
      <c r="L132" t="str">
        <f>VLOOKUP(C132,Customers!$A:$D,4,FALSE)</f>
        <v>Home Office</v>
      </c>
      <c r="M132" t="str">
        <f>VLOOKUP(C132,Customers!$A:$D,2,FALSE)</f>
        <v>Customer_42</v>
      </c>
    </row>
    <row r="133" spans="1:13" x14ac:dyDescent="0.25">
      <c r="A133" t="s">
        <v>189</v>
      </c>
      <c r="B133" s="1">
        <v>45960</v>
      </c>
      <c r="C133" t="s">
        <v>38</v>
      </c>
      <c r="D133" t="s">
        <v>13</v>
      </c>
      <c r="E133">
        <v>2501.88</v>
      </c>
      <c r="F133">
        <v>1</v>
      </c>
      <c r="G133">
        <v>414.24</v>
      </c>
      <c r="H133">
        <v>0.05</v>
      </c>
      <c r="I133" s="2">
        <f t="shared" si="6"/>
        <v>0.16557149023934001</v>
      </c>
      <c r="J133">
        <f t="shared" si="7"/>
        <v>2712.1</v>
      </c>
      <c r="K133" t="str">
        <f>VLOOKUP(C133,Customers!A:D,3,FALSE)</f>
        <v>West</v>
      </c>
      <c r="L133" t="str">
        <f>VLOOKUP(C133,Customers!$A:$D,4,FALSE)</f>
        <v>Home Office</v>
      </c>
      <c r="M133" t="str">
        <f>VLOOKUP(C133,Customers!$A:$D,2,FALSE)</f>
        <v>Customer_22</v>
      </c>
    </row>
    <row r="134" spans="1:13" x14ac:dyDescent="0.25">
      <c r="A134" t="s">
        <v>190</v>
      </c>
      <c r="B134" s="1">
        <v>45891</v>
      </c>
      <c r="C134" t="s">
        <v>17</v>
      </c>
      <c r="D134" t="s">
        <v>23</v>
      </c>
      <c r="E134">
        <v>4377.24</v>
      </c>
      <c r="F134">
        <v>8</v>
      </c>
      <c r="G134">
        <v>794.42</v>
      </c>
      <c r="H134">
        <v>0</v>
      </c>
      <c r="I134" s="2">
        <f t="shared" si="6"/>
        <v>0.1814887920241979</v>
      </c>
      <c r="J134">
        <f t="shared" si="7"/>
        <v>2723.7788888888886</v>
      </c>
      <c r="K134" t="str">
        <f>VLOOKUP(C134,Customers!A:D,3,FALSE)</f>
        <v>North</v>
      </c>
      <c r="L134" t="str">
        <f>VLOOKUP(C134,Customers!$A:$D,4,FALSE)</f>
        <v>Consumer</v>
      </c>
      <c r="M134" t="str">
        <f>VLOOKUP(C134,Customers!$A:$D,2,FALSE)</f>
        <v>Customer_1</v>
      </c>
    </row>
    <row r="135" spans="1:13" x14ac:dyDescent="0.25">
      <c r="A135" t="s">
        <v>191</v>
      </c>
      <c r="B135" s="1">
        <v>45793</v>
      </c>
      <c r="C135" t="s">
        <v>38</v>
      </c>
      <c r="D135" t="s">
        <v>10</v>
      </c>
      <c r="E135">
        <v>2079.39</v>
      </c>
      <c r="F135">
        <v>3</v>
      </c>
      <c r="G135">
        <v>348.03</v>
      </c>
      <c r="H135">
        <v>0</v>
      </c>
      <c r="I135" s="2">
        <f t="shared" si="6"/>
        <v>0.16737120020775323</v>
      </c>
      <c r="J135">
        <f t="shared" si="7"/>
        <v>2626.5164705882353</v>
      </c>
      <c r="K135" t="str">
        <f>VLOOKUP(C135,Customers!A:D,3,FALSE)</f>
        <v>West</v>
      </c>
      <c r="L135" t="str">
        <f>VLOOKUP(C135,Customers!$A:$D,4,FALSE)</f>
        <v>Home Office</v>
      </c>
      <c r="M135" t="str">
        <f>VLOOKUP(C135,Customers!$A:$D,2,FALSE)</f>
        <v>Customer_22</v>
      </c>
    </row>
    <row r="136" spans="1:13" x14ac:dyDescent="0.25">
      <c r="A136" t="s">
        <v>192</v>
      </c>
      <c r="B136" s="1">
        <v>45931</v>
      </c>
      <c r="C136" t="s">
        <v>53</v>
      </c>
      <c r="D136" t="s">
        <v>20</v>
      </c>
      <c r="E136">
        <v>3478.89</v>
      </c>
      <c r="F136">
        <v>2</v>
      </c>
      <c r="G136">
        <v>845.67</v>
      </c>
      <c r="H136">
        <v>0.1</v>
      </c>
      <c r="I136" s="2">
        <f t="shared" si="6"/>
        <v>0.24308615679139037</v>
      </c>
      <c r="J136">
        <f t="shared" si="7"/>
        <v>2660.711875</v>
      </c>
      <c r="K136" t="str">
        <f>VLOOKUP(C136,Customers!A:D,3,FALSE)</f>
        <v>East</v>
      </c>
      <c r="L136" t="str">
        <f>VLOOKUP(C136,Customers!$A:$D,4,FALSE)</f>
        <v>Home Office</v>
      </c>
      <c r="M136" t="str">
        <f>VLOOKUP(C136,Customers!$A:$D,2,FALSE)</f>
        <v>Customer_25</v>
      </c>
    </row>
    <row r="137" spans="1:13" x14ac:dyDescent="0.25">
      <c r="A137" t="s">
        <v>193</v>
      </c>
      <c r="B137" s="1">
        <v>45693</v>
      </c>
      <c r="C137" t="s">
        <v>27</v>
      </c>
      <c r="D137" t="s">
        <v>20</v>
      </c>
      <c r="E137">
        <v>3152.66</v>
      </c>
      <c r="F137">
        <v>8</v>
      </c>
      <c r="G137">
        <v>59.82</v>
      </c>
      <c r="H137">
        <v>0.2</v>
      </c>
      <c r="I137" s="2">
        <f t="shared" si="6"/>
        <v>1.8974453318784772E-2</v>
      </c>
      <c r="J137">
        <f t="shared" si="7"/>
        <v>2606.1666666666661</v>
      </c>
      <c r="K137" t="str">
        <f>VLOOKUP(C137,Customers!A:D,3,FALSE)</f>
        <v>East</v>
      </c>
      <c r="L137" t="str">
        <f>VLOOKUP(C137,Customers!$A:$D,4,FALSE)</f>
        <v>Consumer</v>
      </c>
      <c r="M137" t="str">
        <f>VLOOKUP(C137,Customers!$A:$D,2,FALSE)</f>
        <v>Customer_16</v>
      </c>
    </row>
    <row r="138" spans="1:13" x14ac:dyDescent="0.25">
      <c r="A138" t="s">
        <v>194</v>
      </c>
      <c r="B138" s="1">
        <v>45982</v>
      </c>
      <c r="C138" t="s">
        <v>164</v>
      </c>
      <c r="D138" t="s">
        <v>13</v>
      </c>
      <c r="E138">
        <v>4987.26</v>
      </c>
      <c r="F138">
        <v>2</v>
      </c>
      <c r="G138">
        <v>1319.55</v>
      </c>
      <c r="H138">
        <v>0.15</v>
      </c>
      <c r="I138" s="2">
        <f t="shared" si="6"/>
        <v>0.26458416044080313</v>
      </c>
      <c r="J138">
        <f t="shared" si="7"/>
        <v>2567.1314285714284</v>
      </c>
      <c r="K138" t="str">
        <f>VLOOKUP(C138,Customers!A:D,3,FALSE)</f>
        <v>East</v>
      </c>
      <c r="L138" t="str">
        <f>VLOOKUP(C138,Customers!$A:$D,4,FALSE)</f>
        <v>Consumer</v>
      </c>
      <c r="M138" t="str">
        <f>VLOOKUP(C138,Customers!$A:$D,2,FALSE)</f>
        <v>Customer_46</v>
      </c>
    </row>
    <row r="139" spans="1:13" x14ac:dyDescent="0.25">
      <c r="A139" t="s">
        <v>195</v>
      </c>
      <c r="B139" s="1">
        <v>45686</v>
      </c>
      <c r="C139" t="s">
        <v>68</v>
      </c>
      <c r="D139" t="s">
        <v>20</v>
      </c>
      <c r="E139">
        <v>2246.21</v>
      </c>
      <c r="F139">
        <v>5</v>
      </c>
      <c r="G139">
        <v>138.13999999999999</v>
      </c>
      <c r="H139">
        <v>0</v>
      </c>
      <c r="I139" s="2">
        <f t="shared" si="6"/>
        <v>6.1499147452820521E-2</v>
      </c>
      <c r="J139">
        <f t="shared" si="7"/>
        <v>2380.9676923076922</v>
      </c>
      <c r="K139" t="str">
        <f>VLOOKUP(C139,Customers!A:D,3,FALSE)</f>
        <v>West</v>
      </c>
      <c r="L139" t="str">
        <f>VLOOKUP(C139,Customers!$A:$D,4,FALSE)</f>
        <v>Consumer</v>
      </c>
      <c r="M139" t="str">
        <f>VLOOKUP(C139,Customers!$A:$D,2,FALSE)</f>
        <v>Customer_19</v>
      </c>
    </row>
    <row r="140" spans="1:13" x14ac:dyDescent="0.25">
      <c r="A140" t="s">
        <v>196</v>
      </c>
      <c r="B140" s="1">
        <v>45947</v>
      </c>
      <c r="C140" t="s">
        <v>44</v>
      </c>
      <c r="D140" t="s">
        <v>23</v>
      </c>
      <c r="E140">
        <v>1905.46</v>
      </c>
      <c r="F140">
        <v>3</v>
      </c>
      <c r="G140">
        <v>329.25</v>
      </c>
      <c r="H140">
        <v>0.05</v>
      </c>
      <c r="I140" s="2">
        <f t="shared" si="6"/>
        <v>0.17279292139430899</v>
      </c>
      <c r="J140">
        <f t="shared" si="7"/>
        <v>2392.1975000000002</v>
      </c>
      <c r="K140" t="str">
        <f>VLOOKUP(C140,Customers!A:D,3,FALSE)</f>
        <v>South</v>
      </c>
      <c r="L140" t="str">
        <f>VLOOKUP(C140,Customers!$A:$D,4,FALSE)</f>
        <v>Consumer</v>
      </c>
      <c r="M140" t="str">
        <f>VLOOKUP(C140,Customers!$A:$D,2,FALSE)</f>
        <v>Customer_44</v>
      </c>
    </row>
    <row r="141" spans="1:13" x14ac:dyDescent="0.25">
      <c r="A141" t="s">
        <v>197</v>
      </c>
      <c r="B141" s="1">
        <v>45975</v>
      </c>
      <c r="C141" t="s">
        <v>44</v>
      </c>
      <c r="D141" t="s">
        <v>23</v>
      </c>
      <c r="E141">
        <v>891.42</v>
      </c>
      <c r="F141">
        <v>2</v>
      </c>
      <c r="G141">
        <v>202.99</v>
      </c>
      <c r="H141">
        <v>0.2</v>
      </c>
      <c r="I141" s="2">
        <f t="shared" si="6"/>
        <v>0.22771533059612756</v>
      </c>
      <c r="J141">
        <f t="shared" si="7"/>
        <v>2436.4463636363639</v>
      </c>
      <c r="K141" t="str">
        <f>VLOOKUP(C141,Customers!A:D,3,FALSE)</f>
        <v>South</v>
      </c>
      <c r="L141" t="str">
        <f>VLOOKUP(C141,Customers!$A:$D,4,FALSE)</f>
        <v>Consumer</v>
      </c>
      <c r="M141" t="str">
        <f>VLOOKUP(C141,Customers!$A:$D,2,FALSE)</f>
        <v>Customer_44</v>
      </c>
    </row>
    <row r="142" spans="1:13" x14ac:dyDescent="0.25">
      <c r="A142" t="s">
        <v>198</v>
      </c>
      <c r="B142" s="1">
        <v>45984</v>
      </c>
      <c r="C142" t="s">
        <v>31</v>
      </c>
      <c r="D142" t="s">
        <v>47</v>
      </c>
      <c r="E142">
        <v>2513.4499999999998</v>
      </c>
      <c r="F142">
        <v>10</v>
      </c>
      <c r="G142">
        <v>246.44</v>
      </c>
      <c r="H142">
        <v>0.05</v>
      </c>
      <c r="I142" s="2">
        <f t="shared" si="6"/>
        <v>9.8048499074976633E-2</v>
      </c>
      <c r="J142">
        <f t="shared" si="7"/>
        <v>2590.9489999999996</v>
      </c>
      <c r="K142" t="str">
        <f>VLOOKUP(C142,Customers!A:D,3,FALSE)</f>
        <v>South</v>
      </c>
      <c r="L142" t="str">
        <f>VLOOKUP(C142,Customers!$A:$D,4,FALSE)</f>
        <v>Corporate</v>
      </c>
      <c r="M142" t="str">
        <f>VLOOKUP(C142,Customers!$A:$D,2,FALSE)</f>
        <v>Customer_17</v>
      </c>
    </row>
    <row r="143" spans="1:13" x14ac:dyDescent="0.25">
      <c r="A143" t="s">
        <v>199</v>
      </c>
      <c r="B143" s="1">
        <v>46004</v>
      </c>
      <c r="C143" t="s">
        <v>46</v>
      </c>
      <c r="D143" t="s">
        <v>23</v>
      </c>
      <c r="E143">
        <v>1313.87</v>
      </c>
      <c r="F143">
        <v>1</v>
      </c>
      <c r="G143">
        <v>322.3</v>
      </c>
      <c r="H143">
        <v>0.15</v>
      </c>
      <c r="I143" s="2">
        <f t="shared" si="6"/>
        <v>0.24530585217715606</v>
      </c>
      <c r="J143">
        <f t="shared" si="7"/>
        <v>2599.56</v>
      </c>
      <c r="K143" t="str">
        <f>VLOOKUP(C143,Customers!A:D,3,FALSE)</f>
        <v>South</v>
      </c>
      <c r="L143" t="str">
        <f>VLOOKUP(C143,Customers!$A:$D,4,FALSE)</f>
        <v>Home Office</v>
      </c>
      <c r="M143" t="str">
        <f>VLOOKUP(C143,Customers!$A:$D,2,FALSE)</f>
        <v>Customer_35</v>
      </c>
    </row>
    <row r="144" spans="1:13" x14ac:dyDescent="0.25">
      <c r="A144" t="s">
        <v>200</v>
      </c>
      <c r="B144" s="1">
        <v>45875</v>
      </c>
      <c r="C144" t="s">
        <v>145</v>
      </c>
      <c r="D144" t="s">
        <v>20</v>
      </c>
      <c r="E144">
        <v>415.62</v>
      </c>
      <c r="F144">
        <v>6</v>
      </c>
      <c r="G144">
        <v>35.24</v>
      </c>
      <c r="H144">
        <v>0.2</v>
      </c>
      <c r="I144" s="2">
        <f t="shared" si="6"/>
        <v>8.4788989942736162E-2</v>
      </c>
      <c r="J144">
        <f t="shared" si="7"/>
        <v>2760.2712499999998</v>
      </c>
      <c r="K144" t="str">
        <f>VLOOKUP(C144,Customers!A:D,3,FALSE)</f>
        <v>East</v>
      </c>
      <c r="L144" t="str">
        <f>VLOOKUP(C144,Customers!$A:$D,4,FALSE)</f>
        <v>Corporate</v>
      </c>
      <c r="M144" t="str">
        <f>VLOOKUP(C144,Customers!$A:$D,2,FALSE)</f>
        <v>Customer_45</v>
      </c>
    </row>
    <row r="145" spans="1:13" x14ac:dyDescent="0.25">
      <c r="A145" t="s">
        <v>201</v>
      </c>
      <c r="B145" s="1">
        <v>45905</v>
      </c>
      <c r="C145" t="s">
        <v>42</v>
      </c>
      <c r="D145" t="s">
        <v>23</v>
      </c>
      <c r="E145">
        <v>2311.34</v>
      </c>
      <c r="F145">
        <v>5</v>
      </c>
      <c r="G145">
        <v>669.93</v>
      </c>
      <c r="H145">
        <v>0.05</v>
      </c>
      <c r="I145" s="2">
        <f t="shared" si="6"/>
        <v>0.28984485190409021</v>
      </c>
      <c r="J145">
        <f t="shared" si="7"/>
        <v>3095.221428571429</v>
      </c>
      <c r="K145" t="str">
        <f>VLOOKUP(C145,Customers!A:D,3,FALSE)</f>
        <v>North</v>
      </c>
      <c r="L145" t="str">
        <f>VLOOKUP(C145,Customers!$A:$D,4,FALSE)</f>
        <v>Consumer</v>
      </c>
      <c r="M145" t="str">
        <f>VLOOKUP(C145,Customers!$A:$D,2,FALSE)</f>
        <v>Customer_7</v>
      </c>
    </row>
    <row r="146" spans="1:13" x14ac:dyDescent="0.25">
      <c r="A146" t="s">
        <v>202</v>
      </c>
      <c r="B146" s="1">
        <v>46016</v>
      </c>
      <c r="C146" t="s">
        <v>68</v>
      </c>
      <c r="D146" t="s">
        <v>13</v>
      </c>
      <c r="E146">
        <v>1937.75</v>
      </c>
      <c r="F146">
        <v>6</v>
      </c>
      <c r="G146">
        <v>162.71</v>
      </c>
      <c r="H146">
        <v>0.2</v>
      </c>
      <c r="I146" s="2">
        <f t="shared" si="6"/>
        <v>8.3968520190943113E-2</v>
      </c>
      <c r="J146">
        <f t="shared" si="7"/>
        <v>3225.8683333333333</v>
      </c>
      <c r="K146" t="str">
        <f>VLOOKUP(C146,Customers!A:D,3,FALSE)</f>
        <v>West</v>
      </c>
      <c r="L146" t="str">
        <f>VLOOKUP(C146,Customers!$A:$D,4,FALSE)</f>
        <v>Consumer</v>
      </c>
      <c r="M146" t="str">
        <f>VLOOKUP(C146,Customers!$A:$D,2,FALSE)</f>
        <v>Customer_19</v>
      </c>
    </row>
    <row r="147" spans="1:13" x14ac:dyDescent="0.25">
      <c r="A147" t="s">
        <v>203</v>
      </c>
      <c r="B147" s="1">
        <v>46009</v>
      </c>
      <c r="C147" t="s">
        <v>91</v>
      </c>
      <c r="D147" t="s">
        <v>13</v>
      </c>
      <c r="E147">
        <v>4890.83</v>
      </c>
      <c r="F147">
        <v>7</v>
      </c>
      <c r="G147">
        <v>156.63</v>
      </c>
      <c r="H147">
        <v>0.1</v>
      </c>
      <c r="I147" s="2">
        <f t="shared" si="6"/>
        <v>3.2025239069851129E-2</v>
      </c>
      <c r="J147">
        <f t="shared" si="7"/>
        <v>3483.4919999999997</v>
      </c>
      <c r="K147" t="str">
        <f>VLOOKUP(C147,Customers!A:D,3,FALSE)</f>
        <v>West</v>
      </c>
      <c r="L147" t="str">
        <f>VLOOKUP(C147,Customers!$A:$D,4,FALSE)</f>
        <v>Consumer</v>
      </c>
      <c r="M147" t="str">
        <f>VLOOKUP(C147,Customers!$A:$D,2,FALSE)</f>
        <v>Customer_50</v>
      </c>
    </row>
    <row r="148" spans="1:13" x14ac:dyDescent="0.25">
      <c r="A148" t="s">
        <v>204</v>
      </c>
      <c r="B148" s="1">
        <v>45775</v>
      </c>
      <c r="C148" t="s">
        <v>15</v>
      </c>
      <c r="D148" t="s">
        <v>20</v>
      </c>
      <c r="E148">
        <v>4557.55</v>
      </c>
      <c r="F148">
        <v>8</v>
      </c>
      <c r="G148">
        <v>1020.6</v>
      </c>
      <c r="H148">
        <v>0.1</v>
      </c>
      <c r="I148" s="2">
        <f t="shared" si="6"/>
        <v>0.22393610602187577</v>
      </c>
      <c r="J148">
        <f t="shared" si="7"/>
        <v>3131.6575000000003</v>
      </c>
      <c r="K148" t="str">
        <f>VLOOKUP(C148,Customers!A:D,3,FALSE)</f>
        <v>South</v>
      </c>
      <c r="L148" t="str">
        <f>VLOOKUP(C148,Customers!$A:$D,4,FALSE)</f>
        <v>Consumer</v>
      </c>
      <c r="M148" t="str">
        <f>VLOOKUP(C148,Customers!$A:$D,2,FALSE)</f>
        <v>Customer_39</v>
      </c>
    </row>
    <row r="149" spans="1:13" x14ac:dyDescent="0.25">
      <c r="A149" t="s">
        <v>205</v>
      </c>
      <c r="B149" s="1">
        <v>45995</v>
      </c>
      <c r="C149" t="s">
        <v>44</v>
      </c>
      <c r="D149" t="s">
        <v>23</v>
      </c>
      <c r="E149">
        <v>1134.07</v>
      </c>
      <c r="F149">
        <v>4</v>
      </c>
      <c r="G149">
        <v>82.4</v>
      </c>
      <c r="H149">
        <v>0.2</v>
      </c>
      <c r="I149" s="2">
        <f t="shared" si="6"/>
        <v>7.2658654227693187E-2</v>
      </c>
      <c r="J149">
        <f t="shared" si="7"/>
        <v>2656.36</v>
      </c>
      <c r="K149" t="str">
        <f>VLOOKUP(C149,Customers!A:D,3,FALSE)</f>
        <v>South</v>
      </c>
      <c r="L149" t="str">
        <f>VLOOKUP(C149,Customers!$A:$D,4,FALSE)</f>
        <v>Consumer</v>
      </c>
      <c r="M149" t="str">
        <f>VLOOKUP(C149,Customers!$A:$D,2,FALSE)</f>
        <v>Customer_44</v>
      </c>
    </row>
    <row r="150" spans="1:13" x14ac:dyDescent="0.25">
      <c r="A150" t="s">
        <v>206</v>
      </c>
      <c r="B150" s="1">
        <v>45675</v>
      </c>
      <c r="C150" t="s">
        <v>36</v>
      </c>
      <c r="D150" t="s">
        <v>20</v>
      </c>
      <c r="E150">
        <v>3159.83</v>
      </c>
      <c r="F150">
        <v>1</v>
      </c>
      <c r="G150">
        <v>717.76</v>
      </c>
      <c r="H150">
        <v>0.1</v>
      </c>
      <c r="I150" s="2">
        <f t="shared" si="6"/>
        <v>0.22715146067984671</v>
      </c>
      <c r="J150">
        <f t="shared" si="7"/>
        <v>3417.5050000000001</v>
      </c>
      <c r="K150" t="str">
        <f>VLOOKUP(C150,Customers!A:D,3,FALSE)</f>
        <v>South</v>
      </c>
      <c r="L150" t="str">
        <f>VLOOKUP(C150,Customers!$A:$D,4,FALSE)</f>
        <v>Home Office</v>
      </c>
      <c r="M150" t="str">
        <f>VLOOKUP(C150,Customers!$A:$D,2,FALSE)</f>
        <v>Customer_38</v>
      </c>
    </row>
    <row r="151" spans="1:13" x14ac:dyDescent="0.25">
      <c r="A151" t="s">
        <v>207</v>
      </c>
      <c r="B151" s="1">
        <v>45870</v>
      </c>
      <c r="C151" t="s">
        <v>208</v>
      </c>
      <c r="D151" t="s">
        <v>23</v>
      </c>
      <c r="E151">
        <v>3675.18</v>
      </c>
      <c r="F151">
        <v>2</v>
      </c>
      <c r="G151">
        <v>410.44</v>
      </c>
      <c r="H151">
        <v>0.1</v>
      </c>
      <c r="I151" s="2">
        <f t="shared" si="6"/>
        <v>0.11167888375535348</v>
      </c>
      <c r="J151">
        <f t="shared" si="7"/>
        <v>3675.18</v>
      </c>
      <c r="K151" t="str">
        <f>VLOOKUP(C151,Customers!A:D,3,FALSE)</f>
        <v>West</v>
      </c>
      <c r="L151" t="str">
        <f>VLOOKUP(C151,Customers!$A:$D,4,FALSE)</f>
        <v>Home Office</v>
      </c>
      <c r="M151" t="str">
        <f>VLOOKUP(C151,Customers!$A:$D,2,FALSE)</f>
        <v>Customer_12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B1" sqref="B1"/>
    </sheetView>
  </sheetViews>
  <sheetFormatPr defaultRowHeight="15" x14ac:dyDescent="0.25"/>
  <cols>
    <col min="1" max="1" width="14.140625" customWidth="1"/>
    <col min="2" max="2" width="17.42578125" customWidth="1"/>
    <col min="4" max="4" width="13.7109375" customWidth="1"/>
  </cols>
  <sheetData>
    <row r="1" spans="1:4" x14ac:dyDescent="0.25">
      <c r="A1" t="s">
        <v>2</v>
      </c>
      <c r="B1" t="s">
        <v>211</v>
      </c>
      <c r="C1" t="s">
        <v>212</v>
      </c>
      <c r="D1" t="s">
        <v>213</v>
      </c>
    </row>
    <row r="2" spans="1:4" x14ac:dyDescent="0.25">
      <c r="A2" t="s">
        <v>17</v>
      </c>
      <c r="B2" t="s">
        <v>214</v>
      </c>
      <c r="C2" t="s">
        <v>215</v>
      </c>
      <c r="D2" t="s">
        <v>216</v>
      </c>
    </row>
    <row r="3" spans="1:4" x14ac:dyDescent="0.25">
      <c r="A3" t="s">
        <v>130</v>
      </c>
      <c r="B3" t="s">
        <v>217</v>
      </c>
      <c r="C3" t="s">
        <v>218</v>
      </c>
      <c r="D3" t="s">
        <v>216</v>
      </c>
    </row>
    <row r="4" spans="1:4" x14ac:dyDescent="0.25">
      <c r="A4" t="s">
        <v>94</v>
      </c>
      <c r="B4" t="s">
        <v>219</v>
      </c>
      <c r="C4" t="s">
        <v>220</v>
      </c>
      <c r="D4" t="s">
        <v>216</v>
      </c>
    </row>
    <row r="5" spans="1:4" x14ac:dyDescent="0.25">
      <c r="A5" t="s">
        <v>56</v>
      </c>
      <c r="B5" t="s">
        <v>221</v>
      </c>
      <c r="C5" t="s">
        <v>215</v>
      </c>
      <c r="D5" t="s">
        <v>222</v>
      </c>
    </row>
    <row r="6" spans="1:4" x14ac:dyDescent="0.25">
      <c r="A6" t="s">
        <v>29</v>
      </c>
      <c r="B6" t="s">
        <v>223</v>
      </c>
      <c r="C6" t="s">
        <v>215</v>
      </c>
      <c r="D6" t="s">
        <v>222</v>
      </c>
    </row>
    <row r="7" spans="1:4" x14ac:dyDescent="0.25">
      <c r="A7" t="s">
        <v>60</v>
      </c>
      <c r="B7" t="s">
        <v>224</v>
      </c>
      <c r="C7" t="s">
        <v>225</v>
      </c>
      <c r="D7" t="s">
        <v>216</v>
      </c>
    </row>
    <row r="8" spans="1:4" x14ac:dyDescent="0.25">
      <c r="A8" t="s">
        <v>42</v>
      </c>
      <c r="B8" t="s">
        <v>226</v>
      </c>
      <c r="C8" t="s">
        <v>215</v>
      </c>
      <c r="D8" t="s">
        <v>216</v>
      </c>
    </row>
    <row r="9" spans="1:4" x14ac:dyDescent="0.25">
      <c r="A9" t="s">
        <v>19</v>
      </c>
      <c r="B9" t="s">
        <v>227</v>
      </c>
      <c r="C9" t="s">
        <v>220</v>
      </c>
      <c r="D9" t="s">
        <v>216</v>
      </c>
    </row>
    <row r="10" spans="1:4" x14ac:dyDescent="0.25">
      <c r="A10" t="s">
        <v>72</v>
      </c>
      <c r="B10" t="s">
        <v>228</v>
      </c>
      <c r="C10" t="s">
        <v>215</v>
      </c>
      <c r="D10" t="s">
        <v>222</v>
      </c>
    </row>
    <row r="11" spans="1:4" x14ac:dyDescent="0.25">
      <c r="A11" t="s">
        <v>157</v>
      </c>
      <c r="B11" t="s">
        <v>229</v>
      </c>
      <c r="C11" t="s">
        <v>220</v>
      </c>
      <c r="D11" t="s">
        <v>222</v>
      </c>
    </row>
    <row r="12" spans="1:4" x14ac:dyDescent="0.25">
      <c r="A12" t="s">
        <v>51</v>
      </c>
      <c r="B12" t="s">
        <v>230</v>
      </c>
      <c r="C12" t="s">
        <v>225</v>
      </c>
      <c r="D12" t="s">
        <v>216</v>
      </c>
    </row>
    <row r="13" spans="1:4" x14ac:dyDescent="0.25">
      <c r="A13" t="s">
        <v>208</v>
      </c>
      <c r="B13" t="s">
        <v>231</v>
      </c>
      <c r="C13" t="s">
        <v>225</v>
      </c>
      <c r="D13" t="s">
        <v>222</v>
      </c>
    </row>
    <row r="14" spans="1:4" x14ac:dyDescent="0.25">
      <c r="A14" t="s">
        <v>33</v>
      </c>
      <c r="B14" t="s">
        <v>232</v>
      </c>
      <c r="C14" t="s">
        <v>218</v>
      </c>
      <c r="D14" t="s">
        <v>216</v>
      </c>
    </row>
    <row r="15" spans="1:4" x14ac:dyDescent="0.25">
      <c r="A15" t="s">
        <v>117</v>
      </c>
      <c r="B15" t="s">
        <v>233</v>
      </c>
      <c r="C15" t="s">
        <v>220</v>
      </c>
      <c r="D15" t="s">
        <v>222</v>
      </c>
    </row>
    <row r="16" spans="1:4" x14ac:dyDescent="0.25">
      <c r="A16" t="s">
        <v>88</v>
      </c>
      <c r="B16" t="s">
        <v>234</v>
      </c>
      <c r="C16" t="s">
        <v>225</v>
      </c>
      <c r="D16" t="s">
        <v>235</v>
      </c>
    </row>
    <row r="17" spans="1:4" x14ac:dyDescent="0.25">
      <c r="A17" t="s">
        <v>27</v>
      </c>
      <c r="B17" t="s">
        <v>236</v>
      </c>
      <c r="C17" t="s">
        <v>218</v>
      </c>
      <c r="D17" t="s">
        <v>216</v>
      </c>
    </row>
    <row r="18" spans="1:4" x14ac:dyDescent="0.25">
      <c r="A18" t="s">
        <v>31</v>
      </c>
      <c r="B18" t="s">
        <v>237</v>
      </c>
      <c r="C18" t="s">
        <v>220</v>
      </c>
      <c r="D18" t="s">
        <v>235</v>
      </c>
    </row>
    <row r="19" spans="1:4" x14ac:dyDescent="0.25">
      <c r="A19" t="s">
        <v>86</v>
      </c>
      <c r="B19" t="s">
        <v>238</v>
      </c>
      <c r="C19" t="s">
        <v>215</v>
      </c>
      <c r="D19" t="s">
        <v>216</v>
      </c>
    </row>
    <row r="20" spans="1:4" x14ac:dyDescent="0.25">
      <c r="A20" t="s">
        <v>68</v>
      </c>
      <c r="B20" t="s">
        <v>239</v>
      </c>
      <c r="C20" t="s">
        <v>225</v>
      </c>
      <c r="D20" t="s">
        <v>216</v>
      </c>
    </row>
    <row r="21" spans="1:4" x14ac:dyDescent="0.25">
      <c r="A21" t="s">
        <v>240</v>
      </c>
      <c r="B21" t="s">
        <v>241</v>
      </c>
      <c r="C21" t="s">
        <v>218</v>
      </c>
      <c r="D21" t="s">
        <v>235</v>
      </c>
    </row>
    <row r="22" spans="1:4" x14ac:dyDescent="0.25">
      <c r="A22" t="s">
        <v>126</v>
      </c>
      <c r="B22" t="s">
        <v>242</v>
      </c>
      <c r="C22" t="s">
        <v>218</v>
      </c>
      <c r="D22" t="s">
        <v>216</v>
      </c>
    </row>
    <row r="23" spans="1:4" x14ac:dyDescent="0.25">
      <c r="A23" t="s">
        <v>38</v>
      </c>
      <c r="B23" t="s">
        <v>243</v>
      </c>
      <c r="C23" t="s">
        <v>225</v>
      </c>
      <c r="D23" t="s">
        <v>222</v>
      </c>
    </row>
    <row r="24" spans="1:4" x14ac:dyDescent="0.25">
      <c r="A24" t="s">
        <v>80</v>
      </c>
      <c r="B24" t="s">
        <v>244</v>
      </c>
      <c r="C24" t="s">
        <v>215</v>
      </c>
      <c r="D24" t="s">
        <v>235</v>
      </c>
    </row>
    <row r="25" spans="1:4" x14ac:dyDescent="0.25">
      <c r="A25" t="s">
        <v>245</v>
      </c>
      <c r="B25" t="s">
        <v>246</v>
      </c>
      <c r="C25" t="s">
        <v>215</v>
      </c>
      <c r="D25" t="s">
        <v>222</v>
      </c>
    </row>
    <row r="26" spans="1:4" x14ac:dyDescent="0.25">
      <c r="A26" t="s">
        <v>53</v>
      </c>
      <c r="B26" t="s">
        <v>247</v>
      </c>
      <c r="C26" t="s">
        <v>218</v>
      </c>
      <c r="D26" t="s">
        <v>222</v>
      </c>
    </row>
    <row r="27" spans="1:4" x14ac:dyDescent="0.25">
      <c r="A27" t="s">
        <v>248</v>
      </c>
      <c r="B27" t="s">
        <v>249</v>
      </c>
      <c r="C27" t="s">
        <v>218</v>
      </c>
      <c r="D27" t="s">
        <v>222</v>
      </c>
    </row>
    <row r="28" spans="1:4" x14ac:dyDescent="0.25">
      <c r="A28" t="s">
        <v>84</v>
      </c>
      <c r="B28" t="s">
        <v>250</v>
      </c>
      <c r="C28" t="s">
        <v>220</v>
      </c>
      <c r="D28" t="s">
        <v>222</v>
      </c>
    </row>
    <row r="29" spans="1:4" x14ac:dyDescent="0.25">
      <c r="A29" t="s">
        <v>9</v>
      </c>
      <c r="B29" t="s">
        <v>251</v>
      </c>
      <c r="C29" t="s">
        <v>215</v>
      </c>
      <c r="D29" t="s">
        <v>216</v>
      </c>
    </row>
    <row r="30" spans="1:4" x14ac:dyDescent="0.25">
      <c r="A30" t="s">
        <v>49</v>
      </c>
      <c r="B30" t="s">
        <v>252</v>
      </c>
      <c r="C30" t="s">
        <v>220</v>
      </c>
      <c r="D30" t="s">
        <v>235</v>
      </c>
    </row>
    <row r="31" spans="1:4" x14ac:dyDescent="0.25">
      <c r="A31" t="s">
        <v>138</v>
      </c>
      <c r="B31" t="s">
        <v>253</v>
      </c>
      <c r="C31" t="s">
        <v>215</v>
      </c>
      <c r="D31" t="s">
        <v>216</v>
      </c>
    </row>
    <row r="32" spans="1:4" x14ac:dyDescent="0.25">
      <c r="A32" t="s">
        <v>58</v>
      </c>
      <c r="B32" t="s">
        <v>254</v>
      </c>
      <c r="C32" t="s">
        <v>215</v>
      </c>
      <c r="D32" t="s">
        <v>235</v>
      </c>
    </row>
    <row r="33" spans="1:4" x14ac:dyDescent="0.25">
      <c r="A33" t="s">
        <v>122</v>
      </c>
      <c r="B33" t="s">
        <v>255</v>
      </c>
      <c r="C33" t="s">
        <v>218</v>
      </c>
      <c r="D33" t="s">
        <v>235</v>
      </c>
    </row>
    <row r="34" spans="1:4" x14ac:dyDescent="0.25">
      <c r="A34" t="s">
        <v>22</v>
      </c>
      <c r="B34" t="s">
        <v>256</v>
      </c>
      <c r="C34" t="s">
        <v>218</v>
      </c>
      <c r="D34" t="s">
        <v>216</v>
      </c>
    </row>
    <row r="35" spans="1:4" x14ac:dyDescent="0.25">
      <c r="A35" t="s">
        <v>70</v>
      </c>
      <c r="B35" t="s">
        <v>257</v>
      </c>
      <c r="C35" t="s">
        <v>218</v>
      </c>
      <c r="D35" t="s">
        <v>235</v>
      </c>
    </row>
    <row r="36" spans="1:4" x14ac:dyDescent="0.25">
      <c r="A36" t="s">
        <v>46</v>
      </c>
      <c r="B36" t="s">
        <v>258</v>
      </c>
      <c r="C36" t="s">
        <v>220</v>
      </c>
      <c r="D36" t="s">
        <v>222</v>
      </c>
    </row>
    <row r="37" spans="1:4" x14ac:dyDescent="0.25">
      <c r="A37" t="s">
        <v>102</v>
      </c>
      <c r="B37" t="s">
        <v>259</v>
      </c>
      <c r="C37" t="s">
        <v>218</v>
      </c>
      <c r="D37" t="s">
        <v>222</v>
      </c>
    </row>
    <row r="38" spans="1:4" x14ac:dyDescent="0.25">
      <c r="A38" t="s">
        <v>63</v>
      </c>
      <c r="B38" t="s">
        <v>260</v>
      </c>
      <c r="C38" t="s">
        <v>215</v>
      </c>
      <c r="D38" t="s">
        <v>222</v>
      </c>
    </row>
    <row r="39" spans="1:4" x14ac:dyDescent="0.25">
      <c r="A39" t="s">
        <v>36</v>
      </c>
      <c r="B39" t="s">
        <v>261</v>
      </c>
      <c r="C39" t="s">
        <v>220</v>
      </c>
      <c r="D39" t="s">
        <v>222</v>
      </c>
    </row>
    <row r="40" spans="1:4" x14ac:dyDescent="0.25">
      <c r="A40" t="s">
        <v>15</v>
      </c>
      <c r="B40" t="s">
        <v>262</v>
      </c>
      <c r="C40" t="s">
        <v>220</v>
      </c>
      <c r="D40" t="s">
        <v>216</v>
      </c>
    </row>
    <row r="41" spans="1:4" x14ac:dyDescent="0.25">
      <c r="A41" t="s">
        <v>82</v>
      </c>
      <c r="B41" t="s">
        <v>263</v>
      </c>
      <c r="C41" t="s">
        <v>225</v>
      </c>
      <c r="D41" t="s">
        <v>235</v>
      </c>
    </row>
    <row r="42" spans="1:4" x14ac:dyDescent="0.25">
      <c r="A42" t="s">
        <v>76</v>
      </c>
      <c r="B42" t="s">
        <v>264</v>
      </c>
      <c r="C42" t="s">
        <v>218</v>
      </c>
      <c r="D42" t="s">
        <v>222</v>
      </c>
    </row>
    <row r="43" spans="1:4" x14ac:dyDescent="0.25">
      <c r="A43" t="s">
        <v>104</v>
      </c>
      <c r="B43" t="s">
        <v>265</v>
      </c>
      <c r="C43" t="s">
        <v>220</v>
      </c>
      <c r="D43" t="s">
        <v>222</v>
      </c>
    </row>
    <row r="44" spans="1:4" x14ac:dyDescent="0.25">
      <c r="A44" t="s">
        <v>98</v>
      </c>
      <c r="B44" t="s">
        <v>266</v>
      </c>
      <c r="C44" t="s">
        <v>218</v>
      </c>
      <c r="D44" t="s">
        <v>216</v>
      </c>
    </row>
    <row r="45" spans="1:4" x14ac:dyDescent="0.25">
      <c r="A45" t="s">
        <v>44</v>
      </c>
      <c r="B45" t="s">
        <v>267</v>
      </c>
      <c r="C45" t="s">
        <v>220</v>
      </c>
      <c r="D45" t="s">
        <v>216</v>
      </c>
    </row>
    <row r="46" spans="1:4" x14ac:dyDescent="0.25">
      <c r="A46" t="s">
        <v>145</v>
      </c>
      <c r="B46" t="s">
        <v>268</v>
      </c>
      <c r="C46" t="s">
        <v>218</v>
      </c>
      <c r="D46" t="s">
        <v>235</v>
      </c>
    </row>
    <row r="47" spans="1:4" x14ac:dyDescent="0.25">
      <c r="A47" t="s">
        <v>164</v>
      </c>
      <c r="B47" t="s">
        <v>269</v>
      </c>
      <c r="C47" t="s">
        <v>218</v>
      </c>
      <c r="D47" t="s">
        <v>216</v>
      </c>
    </row>
    <row r="48" spans="1:4" x14ac:dyDescent="0.25">
      <c r="A48" t="s">
        <v>40</v>
      </c>
      <c r="B48" t="s">
        <v>270</v>
      </c>
      <c r="C48" t="s">
        <v>220</v>
      </c>
      <c r="D48" t="s">
        <v>222</v>
      </c>
    </row>
    <row r="49" spans="1:4" x14ac:dyDescent="0.25">
      <c r="A49" t="s">
        <v>271</v>
      </c>
      <c r="B49" t="s">
        <v>272</v>
      </c>
      <c r="C49" t="s">
        <v>218</v>
      </c>
      <c r="D49" t="s">
        <v>216</v>
      </c>
    </row>
    <row r="50" spans="1:4" x14ac:dyDescent="0.25">
      <c r="A50" t="s">
        <v>12</v>
      </c>
      <c r="B50" t="s">
        <v>273</v>
      </c>
      <c r="C50" t="s">
        <v>225</v>
      </c>
      <c r="D50" t="s">
        <v>235</v>
      </c>
    </row>
    <row r="51" spans="1:4" x14ac:dyDescent="0.25">
      <c r="A51" t="s">
        <v>91</v>
      </c>
      <c r="B51" t="s">
        <v>274</v>
      </c>
      <c r="C51" t="s">
        <v>225</v>
      </c>
      <c r="D51" t="s">
        <v>216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abSelected="1" zoomScale="80" zoomScaleNormal="80" workbookViewId="0">
      <selection activeCell="O15" sqref="O15"/>
    </sheetView>
  </sheetViews>
  <sheetFormatPr defaultRowHeight="15" x14ac:dyDescent="0.25"/>
  <cols>
    <col min="1" max="1" width="10.28515625" bestFit="1" customWidth="1"/>
    <col min="2" max="2" width="11.140625" bestFit="1" customWidth="1"/>
    <col min="3" max="3" width="18.7109375" customWidth="1"/>
    <col min="4" max="4" width="18.85546875" customWidth="1"/>
    <col min="5" max="5" width="15.140625" customWidth="1"/>
    <col min="6" max="6" width="18.5703125" customWidth="1"/>
    <col min="7" max="7" width="9.42578125" bestFit="1" customWidth="1"/>
    <col min="8" max="8" width="14" customWidth="1"/>
    <col min="9" max="9" width="18" customWidth="1"/>
    <col min="10" max="10" width="17.42578125" customWidth="1"/>
    <col min="11" max="11" width="15.140625" customWidth="1"/>
    <col min="12" max="12" width="24.85546875" customWidth="1"/>
    <col min="13" max="13" width="16.28515625" customWidth="1"/>
    <col min="14" max="14" width="15.5703125" customWidth="1"/>
  </cols>
  <sheetData>
    <row r="1" spans="1:17" ht="30.75" x14ac:dyDescent="0.45">
      <c r="A1" s="3"/>
      <c r="B1" s="3"/>
      <c r="C1" s="3"/>
      <c r="D1" s="3"/>
      <c r="E1" s="3"/>
      <c r="F1" s="3"/>
      <c r="G1" s="4" t="s">
        <v>298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26.25" x14ac:dyDescent="0.4">
      <c r="A2" s="3"/>
      <c r="B2" s="3"/>
      <c r="C2" s="3"/>
      <c r="D2" s="5" t="s">
        <v>292</v>
      </c>
      <c r="E2" s="3"/>
      <c r="F2" s="3"/>
      <c r="G2" s="3"/>
      <c r="H2" s="6"/>
      <c r="I2" s="5" t="s">
        <v>293</v>
      </c>
      <c r="J2" s="3"/>
      <c r="K2" s="3"/>
      <c r="L2" s="5" t="s">
        <v>294</v>
      </c>
      <c r="M2" s="3"/>
      <c r="N2" s="3"/>
      <c r="O2" s="3"/>
      <c r="P2" s="3"/>
      <c r="Q2" s="3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8.75" x14ac:dyDescent="0.3">
      <c r="A4" s="3"/>
      <c r="B4" s="3"/>
      <c r="C4" s="7" t="s">
        <v>275</v>
      </c>
      <c r="D4" s="7" t="s">
        <v>277</v>
      </c>
      <c r="E4" s="7"/>
      <c r="F4" s="7"/>
      <c r="G4" s="3"/>
      <c r="H4" s="3"/>
      <c r="I4" s="7" t="s">
        <v>296</v>
      </c>
      <c r="J4" s="7" t="s">
        <v>275</v>
      </c>
      <c r="K4" s="3"/>
      <c r="L4" s="7" t="s">
        <v>297</v>
      </c>
      <c r="M4" s="7" t="s">
        <v>275</v>
      </c>
      <c r="N4" s="3"/>
      <c r="O4" s="3"/>
      <c r="P4" s="3"/>
      <c r="Q4" s="3"/>
    </row>
    <row r="5" spans="1:17" ht="18.75" x14ac:dyDescent="0.3">
      <c r="A5" s="3"/>
      <c r="B5" s="3"/>
      <c r="C5" s="7" t="s">
        <v>276</v>
      </c>
      <c r="D5" s="7" t="s">
        <v>216</v>
      </c>
      <c r="E5" s="7" t="s">
        <v>235</v>
      </c>
      <c r="F5" s="7" t="s">
        <v>222</v>
      </c>
      <c r="G5" s="3"/>
      <c r="H5" s="3"/>
      <c r="I5" s="8" t="s">
        <v>280</v>
      </c>
      <c r="J5" s="7">
        <v>13254.87</v>
      </c>
      <c r="K5" s="3"/>
      <c r="L5" s="8" t="s">
        <v>262</v>
      </c>
      <c r="M5" s="7">
        <v>25727.479999999996</v>
      </c>
      <c r="N5" s="3"/>
      <c r="O5" s="3"/>
      <c r="P5" s="3"/>
      <c r="Q5" s="3"/>
    </row>
    <row r="6" spans="1:17" ht="18.75" x14ac:dyDescent="0.3">
      <c r="A6" s="3"/>
      <c r="B6" s="3"/>
      <c r="C6" s="8" t="s">
        <v>218</v>
      </c>
      <c r="D6" s="7">
        <v>63077.389999999992</v>
      </c>
      <c r="E6" s="7">
        <v>18417.309999999998</v>
      </c>
      <c r="F6" s="7">
        <v>32322.84</v>
      </c>
      <c r="G6" s="3"/>
      <c r="H6" s="3"/>
      <c r="I6" s="8" t="s">
        <v>281</v>
      </c>
      <c r="J6" s="7">
        <v>42153.67</v>
      </c>
      <c r="K6" s="3"/>
      <c r="L6" s="8" t="s">
        <v>266</v>
      </c>
      <c r="M6" s="7">
        <v>23892.7</v>
      </c>
      <c r="N6" s="3"/>
      <c r="O6" s="3"/>
      <c r="P6" s="3"/>
      <c r="Q6" s="3"/>
    </row>
    <row r="7" spans="1:17" ht="18.75" x14ac:dyDescent="0.3">
      <c r="A7" s="3"/>
      <c r="B7" s="3"/>
      <c r="C7" s="8" t="s">
        <v>215</v>
      </c>
      <c r="D7" s="7">
        <v>44353.259999999995</v>
      </c>
      <c r="E7" s="7">
        <v>15311.61</v>
      </c>
      <c r="F7" s="7">
        <v>26299.050000000003</v>
      </c>
      <c r="G7" s="3"/>
      <c r="H7" s="3"/>
      <c r="I7" s="8" t="s">
        <v>282</v>
      </c>
      <c r="J7" s="7">
        <v>30454.400000000005</v>
      </c>
      <c r="K7" s="3"/>
      <c r="L7" s="8" t="s">
        <v>274</v>
      </c>
      <c r="M7" s="7">
        <v>18593.620000000003</v>
      </c>
      <c r="N7" s="3"/>
      <c r="O7" s="3"/>
      <c r="P7" s="3"/>
      <c r="Q7" s="3"/>
    </row>
    <row r="8" spans="1:17" ht="18.75" x14ac:dyDescent="0.3">
      <c r="A8" s="3"/>
      <c r="B8" s="3"/>
      <c r="C8" s="8" t="s">
        <v>220</v>
      </c>
      <c r="D8" s="7">
        <v>49530.070000000007</v>
      </c>
      <c r="E8" s="7">
        <v>19439.650000000001</v>
      </c>
      <c r="F8" s="7">
        <v>42425.010000000009</v>
      </c>
      <c r="G8" s="3"/>
      <c r="H8" s="3"/>
      <c r="I8" s="8" t="s">
        <v>283</v>
      </c>
      <c r="J8" s="7">
        <v>36055.289999999994</v>
      </c>
      <c r="K8" s="3"/>
      <c r="L8" s="8" t="s">
        <v>214</v>
      </c>
      <c r="M8" s="7">
        <v>17187</v>
      </c>
      <c r="N8" s="3"/>
      <c r="O8" s="3"/>
      <c r="P8" s="3"/>
      <c r="Q8" s="3"/>
    </row>
    <row r="9" spans="1:17" ht="18.75" x14ac:dyDescent="0.3">
      <c r="A9" s="3"/>
      <c r="B9" s="3"/>
      <c r="C9" s="8" t="s">
        <v>225</v>
      </c>
      <c r="D9" s="7">
        <v>41109.880000000005</v>
      </c>
      <c r="E9" s="7">
        <v>29575.21</v>
      </c>
      <c r="F9" s="7">
        <v>10130.210000000001</v>
      </c>
      <c r="G9" s="3"/>
      <c r="H9" s="3"/>
      <c r="I9" s="8" t="s">
        <v>284</v>
      </c>
      <c r="J9" s="7">
        <v>36672.81</v>
      </c>
      <c r="K9" s="3"/>
      <c r="L9" s="8" t="s">
        <v>234</v>
      </c>
      <c r="M9" s="7">
        <v>14870.260000000002</v>
      </c>
      <c r="N9" s="3"/>
      <c r="O9" s="3"/>
      <c r="P9" s="3"/>
      <c r="Q9" s="3"/>
    </row>
    <row r="10" spans="1:17" ht="18.75" x14ac:dyDescent="0.3">
      <c r="A10" s="3"/>
      <c r="B10" s="3"/>
      <c r="C10" s="3"/>
      <c r="D10" s="3"/>
      <c r="E10" s="3"/>
      <c r="F10" s="3"/>
      <c r="G10" s="3"/>
      <c r="H10" s="3"/>
      <c r="I10" s="8" t="s">
        <v>285</v>
      </c>
      <c r="J10" s="7">
        <v>36667.379999999997</v>
      </c>
      <c r="K10" s="3"/>
      <c r="L10" s="8" t="s">
        <v>247</v>
      </c>
      <c r="M10" s="7">
        <v>14585.199999999999</v>
      </c>
      <c r="N10" s="3"/>
      <c r="O10" s="3"/>
      <c r="P10" s="3"/>
      <c r="Q10" s="3"/>
    </row>
    <row r="11" spans="1:17" ht="26.25" x14ac:dyDescent="0.4">
      <c r="A11" s="3"/>
      <c r="B11" s="3"/>
      <c r="C11" s="5"/>
      <c r="D11" s="5" t="s">
        <v>295</v>
      </c>
      <c r="E11" s="3"/>
      <c r="F11" s="3"/>
      <c r="G11" s="3"/>
      <c r="H11" s="3"/>
      <c r="I11" s="8" t="s">
        <v>286</v>
      </c>
      <c r="J11" s="7">
        <v>17537.32</v>
      </c>
      <c r="K11" s="3"/>
      <c r="L11" s="8" t="s">
        <v>254</v>
      </c>
      <c r="M11" s="7">
        <v>14528.55</v>
      </c>
      <c r="N11" s="3"/>
      <c r="O11" s="3"/>
      <c r="P11" s="3"/>
      <c r="Q11" s="3"/>
    </row>
    <row r="12" spans="1:17" ht="18.75" x14ac:dyDescent="0.3">
      <c r="A12" s="3"/>
      <c r="B12" s="3"/>
      <c r="C12" s="3"/>
      <c r="D12" s="3"/>
      <c r="E12" s="3"/>
      <c r="F12" s="3"/>
      <c r="G12" s="3"/>
      <c r="H12" s="3"/>
      <c r="I12" s="8" t="s">
        <v>287</v>
      </c>
      <c r="J12" s="7">
        <v>44866.99</v>
      </c>
      <c r="K12" s="3"/>
      <c r="L12" s="8" t="s">
        <v>238</v>
      </c>
      <c r="M12" s="7">
        <v>13792.91</v>
      </c>
      <c r="N12" s="3"/>
      <c r="O12" s="3"/>
      <c r="P12" s="3"/>
      <c r="Q12" s="3"/>
    </row>
    <row r="13" spans="1:17" ht="18.75" x14ac:dyDescent="0.3">
      <c r="A13" s="3"/>
      <c r="B13" s="3"/>
      <c r="C13" s="7" t="s">
        <v>279</v>
      </c>
      <c r="D13" s="7" t="s">
        <v>276</v>
      </c>
      <c r="E13" s="7"/>
      <c r="F13" s="7"/>
      <c r="G13" s="7"/>
      <c r="H13" s="3"/>
      <c r="I13" s="8" t="s">
        <v>288</v>
      </c>
      <c r="J13" s="7">
        <v>28728.080000000002</v>
      </c>
      <c r="K13" s="3"/>
      <c r="L13" s="8" t="s">
        <v>237</v>
      </c>
      <c r="M13" s="7">
        <v>12924.3</v>
      </c>
      <c r="N13" s="3"/>
      <c r="O13" s="3"/>
      <c r="P13" s="3"/>
      <c r="Q13" s="3"/>
    </row>
    <row r="14" spans="1:17" ht="18.75" x14ac:dyDescent="0.3">
      <c r="A14" s="3"/>
      <c r="B14" s="3"/>
      <c r="C14" s="7" t="s">
        <v>278</v>
      </c>
      <c r="D14" s="7" t="s">
        <v>218</v>
      </c>
      <c r="E14" s="7" t="s">
        <v>215</v>
      </c>
      <c r="F14" s="7" t="s">
        <v>220</v>
      </c>
      <c r="G14" s="7" t="s">
        <v>225</v>
      </c>
      <c r="H14" s="3"/>
      <c r="I14" s="8" t="s">
        <v>289</v>
      </c>
      <c r="J14" s="7">
        <v>32839.360000000001</v>
      </c>
      <c r="K14" s="3"/>
      <c r="L14" s="8" t="s">
        <v>260</v>
      </c>
      <c r="M14" s="7">
        <v>12074.439999999999</v>
      </c>
      <c r="N14" s="3"/>
      <c r="O14" s="3"/>
      <c r="P14" s="3"/>
      <c r="Q14" s="3"/>
    </row>
    <row r="15" spans="1:17" ht="18.75" x14ac:dyDescent="0.3">
      <c r="A15" s="3"/>
      <c r="B15" s="3"/>
      <c r="C15" s="8" t="s">
        <v>47</v>
      </c>
      <c r="D15" s="7">
        <v>5180.1099999999997</v>
      </c>
      <c r="E15" s="7">
        <v>2116.71</v>
      </c>
      <c r="F15" s="7">
        <v>3131.73</v>
      </c>
      <c r="G15" s="7">
        <v>2175.9</v>
      </c>
      <c r="H15" s="3"/>
      <c r="I15" s="8" t="s">
        <v>290</v>
      </c>
      <c r="J15" s="7">
        <v>34823.5</v>
      </c>
      <c r="K15" s="3"/>
      <c r="L15" s="3"/>
      <c r="M15" s="3"/>
      <c r="N15" s="3"/>
      <c r="O15" s="3"/>
      <c r="P15" s="3"/>
      <c r="Q15" s="3"/>
    </row>
    <row r="16" spans="1:17" ht="18.75" x14ac:dyDescent="0.3">
      <c r="A16" s="3"/>
      <c r="B16" s="3"/>
      <c r="C16" s="8" t="s">
        <v>13</v>
      </c>
      <c r="D16" s="7">
        <v>6232.42</v>
      </c>
      <c r="E16" s="7">
        <v>2117.39</v>
      </c>
      <c r="F16" s="7">
        <v>4576.09</v>
      </c>
      <c r="G16" s="7">
        <v>2565.6100000000006</v>
      </c>
      <c r="H16" s="3"/>
      <c r="I16" s="8" t="s">
        <v>291</v>
      </c>
      <c r="J16" s="7">
        <v>37937.82</v>
      </c>
      <c r="K16" s="3"/>
      <c r="L16" s="3"/>
      <c r="M16" s="3"/>
      <c r="N16" s="3"/>
      <c r="O16" s="3"/>
      <c r="P16" s="3"/>
      <c r="Q16" s="3"/>
    </row>
    <row r="17" spans="1:17" ht="18.75" x14ac:dyDescent="0.3">
      <c r="A17" s="3"/>
      <c r="B17" s="3"/>
      <c r="C17" s="8" t="s">
        <v>10</v>
      </c>
      <c r="D17" s="7">
        <v>2147.6</v>
      </c>
      <c r="E17" s="7">
        <v>3153.4</v>
      </c>
      <c r="F17" s="7">
        <v>2416.6899999999996</v>
      </c>
      <c r="G17" s="7">
        <v>2486.7399999999998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8.75" x14ac:dyDescent="0.3">
      <c r="A18" s="3"/>
      <c r="B18" s="3"/>
      <c r="C18" s="8" t="s">
        <v>23</v>
      </c>
      <c r="D18" s="7">
        <v>1068.6200000000001</v>
      </c>
      <c r="E18" s="7">
        <v>3368.96</v>
      </c>
      <c r="F18" s="7">
        <v>3093.94</v>
      </c>
      <c r="G18" s="7">
        <v>3989.9600000000005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8.75" x14ac:dyDescent="0.3">
      <c r="A19" s="3"/>
      <c r="B19" s="3"/>
      <c r="C19" s="8" t="s">
        <v>20</v>
      </c>
      <c r="D19" s="7">
        <v>4691.6099999999988</v>
      </c>
      <c r="E19" s="7">
        <v>1170.0900000000001</v>
      </c>
      <c r="F19" s="7">
        <v>5416.670000000001</v>
      </c>
      <c r="G19" s="7">
        <v>728.68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</sheetData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C5A798-7850-46E0-B66A-EBB7E6FB9C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</dc:creator>
  <cp:lastModifiedBy>KOTI</cp:lastModifiedBy>
  <dcterms:created xsi:type="dcterms:W3CDTF">2026-06-05T11:22:36Z</dcterms:created>
  <dcterms:modified xsi:type="dcterms:W3CDTF">2026-06-05T13:27:54Z</dcterms:modified>
</cp:coreProperties>
</file>